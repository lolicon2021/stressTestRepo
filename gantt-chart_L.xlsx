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trlProps/ctrlProp1.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40" windowHeight="9420"/>
  </bookViews>
  <sheets>
    <sheet name="GanttChart" sheetId="9" r:id="rId1"/>
    <sheet name="GanttChartPro" sheetId="12" r:id="rId2"/>
    <sheet name="Help" sheetId="6" r:id="rId3"/>
    <sheet name="TermsOfUse" sheetId="11" r:id="rId4"/>
  </sheets>
  <definedNames>
    <definedName name="prevWBS" localSheetId="0">GanttChart!$A1048576</definedName>
    <definedName name="_xlnm.Print_Area" localSheetId="0">GanttChart!$A$1:$BN$61</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44525"/>
</workbook>
</file>

<file path=xl/comments1.xml><?xml version="1.0" encoding="utf-8"?>
<comments xmlns="http://schemas.openxmlformats.org/spreadsheetml/2006/main">
  <authors>
    <author>Vertex42</author>
    <author>Vertex42.com Templates</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r>
          <rPr>
            <b/>
            <sz val="9"/>
            <rFont val="Tahoma"/>
            <charset val="134"/>
          </rPr>
          <t xml:space="preserve">Predecessor Tasks:
</t>
        </r>
        <r>
          <rPr>
            <sz val="9"/>
            <rFont val="Tahoma"/>
            <charset val="134"/>
          </rPr>
          <t>You can use this column to enter the WBS of a predecessor for reference. The PRO version uses formulas to automatically calculate the Start Date based on the Predecessor.</t>
        </r>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<sst xmlns="http://schemas.openxmlformats.org/spreadsheetml/2006/main" count="276" uniqueCount="213">
  <si>
    <t>Kāinga Real Estate</t>
  </si>
  <si>
    <r>
      <rPr>
        <i/>
        <u/>
        <sz val="8"/>
        <color theme="1" tint="0.349986266670736"/>
        <rFont val="Arial"/>
        <charset val="134"/>
      </rPr>
      <t>Gantt Chart Template</t>
    </r>
    <r>
      <rPr>
        <i/>
        <sz val="8"/>
        <color theme="1" tint="0.349986266670736"/>
        <rFont val="Arial"/>
        <charset val="134"/>
      </rPr>
      <t xml:space="preserve"> © 2006-2018 by Vertex42.com.</t>
    </r>
  </si>
  <si>
    <t>Kāinga Real</t>
  </si>
  <si>
    <t xml:space="preserve">Project Start Date </t>
  </si>
  <si>
    <t xml:space="preserve">Display Week </t>
  </si>
  <si>
    <t xml:space="preserve">Project Lead </t>
  </si>
  <si>
    <t>Richard Henare</t>
  </si>
  <si>
    <t>WBS</t>
  </si>
  <si>
    <t>TASK</t>
  </si>
  <si>
    <t>LEAD</t>
  </si>
  <si>
    <t>PREDECESSOR</t>
  </si>
  <si>
    <t>START</t>
  </si>
  <si>
    <t>END</t>
  </si>
  <si>
    <t>DAYS</t>
  </si>
  <si>
    <t>% DONE</t>
  </si>
  <si>
    <t>WORK DAYS</t>
  </si>
  <si>
    <t>[Planning]</t>
  </si>
  <si>
    <t>Use case analysis</t>
  </si>
  <si>
    <t xml:space="preserve"> indentify the high priority use case</t>
  </si>
  <si>
    <t>Tech review</t>
  </si>
  <si>
    <t>Risk Management</t>
  </si>
  <si>
    <t>Draft system use case description</t>
  </si>
  <si>
    <t xml:space="preserve">  Add Seller</t>
  </si>
  <si>
    <t>1.4.2</t>
  </si>
  <si>
    <t xml:space="preserve">  Update seller</t>
  </si>
  <si>
    <t>1.4.3</t>
  </si>
  <si>
    <t xml:space="preserve">  Delete seller</t>
  </si>
  <si>
    <t>1.4.4</t>
  </si>
  <si>
    <t xml:space="preserve">  Produce Sellers Report</t>
  </si>
  <si>
    <t>1.4.5</t>
  </si>
  <si>
    <t xml:space="preserve">  Add Agent</t>
  </si>
  <si>
    <t>1.4.6</t>
  </si>
  <si>
    <t xml:space="preserve">  Update Agent</t>
  </si>
  <si>
    <t>1.4.7</t>
  </si>
  <si>
    <t xml:space="preserve">  Delete Agent</t>
  </si>
  <si>
    <t>1.4.8</t>
  </si>
  <si>
    <t xml:space="preserve">  Produce Agents Report</t>
  </si>
  <si>
    <t>Make system use case</t>
  </si>
  <si>
    <t>Make overall class diagrams</t>
  </si>
  <si>
    <t>Make bussiness use case descriptiors</t>
  </si>
  <si>
    <t>Make use case activity diagrams</t>
  </si>
  <si>
    <t>[Analysis]</t>
  </si>
  <si>
    <t>Gantt chart</t>
  </si>
  <si>
    <t>Draw form</t>
  </si>
  <si>
    <t>2.2.1</t>
  </si>
  <si>
    <t>2.2.2</t>
  </si>
  <si>
    <t>2.2.3</t>
  </si>
  <si>
    <t>2.2.4</t>
  </si>
  <si>
    <t>2.2.5</t>
  </si>
  <si>
    <t>2.2.6</t>
  </si>
  <si>
    <t>2.2.7</t>
  </si>
  <si>
    <t>2.2.8</t>
  </si>
  <si>
    <t>Test plan</t>
  </si>
  <si>
    <t>[Design]</t>
  </si>
  <si>
    <t>Database</t>
  </si>
  <si>
    <t>3.1.1</t>
  </si>
  <si>
    <t xml:space="preserve">  Get sample data</t>
  </si>
  <si>
    <t>3.1.2</t>
  </si>
  <si>
    <t xml:space="preserve">  Confirm that the date respects the business rules</t>
  </si>
  <si>
    <t>3.1.3</t>
  </si>
  <si>
    <t xml:space="preserve">  Organise the data</t>
  </si>
  <si>
    <t>User interface</t>
  </si>
  <si>
    <t>3.2.1</t>
  </si>
  <si>
    <t xml:space="preserve">  Add Buyer</t>
  </si>
  <si>
    <t>3.2.2</t>
  </si>
  <si>
    <t xml:space="preserve">  Update Buyer</t>
  </si>
  <si>
    <t>3.2.3</t>
  </si>
  <si>
    <t xml:space="preserve">  Delete Buyer</t>
  </si>
  <si>
    <t>3.2.4</t>
  </si>
  <si>
    <t xml:space="preserve">  Produce Buyers Report</t>
  </si>
  <si>
    <t>3.2.5</t>
  </si>
  <si>
    <t xml:space="preserve">  Assign Buyer Suburb</t>
  </si>
  <si>
    <t>3.2.6</t>
  </si>
  <si>
    <t xml:space="preserve">  Remove Buyer Suburb</t>
  </si>
  <si>
    <t>3.2.7</t>
  </si>
  <si>
    <t xml:space="preserve">  Assign Buyer Category</t>
  </si>
  <si>
    <t>3.2.8</t>
  </si>
  <si>
    <t xml:space="preserve">  Remove Buyer Category</t>
  </si>
  <si>
    <t>Testing</t>
  </si>
  <si>
    <t>3.3.1</t>
  </si>
  <si>
    <t xml:space="preserve">  Database Testing</t>
  </si>
  <si>
    <t>3.3.2</t>
  </si>
  <si>
    <t xml:space="preserve">  Usability Testing</t>
  </si>
  <si>
    <t>3.3.3</t>
  </si>
  <si>
    <t xml:space="preserve">  Accessibilty Testing</t>
  </si>
  <si>
    <t>3.3.4</t>
  </si>
  <si>
    <t xml:space="preserve">  User Experience Testing</t>
  </si>
  <si>
    <t>[Maintenance]</t>
  </si>
  <si>
    <t>User Testing</t>
  </si>
  <si>
    <t>User acceptance Testing</t>
  </si>
  <si>
    <t>TEMPLATE ROWS</t>
  </si>
  <si>
    <t>See the Help worksheet to learn how to use these rows. You can hide these rows before printing.</t>
  </si>
  <si>
    <t>[ Level 1 Task or Phase ]</t>
  </si>
  <si>
    <t xml:space="preserve"> . [ Level 2 Task ]</t>
  </si>
  <si>
    <t xml:space="preserve"> . . [ Level 3 Task ]</t>
  </si>
  <si>
    <t xml:space="preserve"> . . . [ Level 4 Task ]</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</si>
  <si>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</si>
  <si>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</si>
  <si>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</si>
  <si>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</si>
  <si>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</si>
  <si>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</si>
  <si>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</si>
  <si>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</si>
  <si>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</si>
  <si>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</si>
  <si>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</si>
  <si>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</si>
  <si>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</si>
  <si>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</si>
  <si>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</si>
  <si>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</si>
  <si>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</si>
  <si>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</si>
  <si>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</si>
  <si>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</si>
  <si>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</si>
  <si>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</si>
  <si>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</si>
  <si>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</si>
  <si>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</si>
  <si>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</si>
  <si>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</si>
  <si>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</si>
  <si>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</si>
  <si>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</si>
  <si>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</si>
  <si>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</si>
  <si>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</si>
  <si>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</si>
  <si>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</si>
  <si>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</si>
  <si>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</si>
  <si>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</si>
  <si>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</si>
  <si>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</si>
  <si>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</si>
  <si>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</si>
  <si>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</si>
  <si>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</si>
  <si>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</si>
  <si>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</si>
  <si>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</si>
  <si>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</si>
  <si>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</si>
  <si>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</si>
  <si>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</si>
  <si>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</si>
  <si>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</si>
  <si>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</si>
  <si>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</si>
  <si>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</si>
  <si>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</si>
  <si>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</si>
  <si>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</si>
  <si>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</si>
  <si>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</si>
  <si>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</si>
  <si>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</si>
  <si>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</si>
  <si>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</si>
  <si>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</si>
  <si>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</si>
  <si>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</si>
  <si>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</si>
  <si>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</si>
  <si>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</si>
  <si>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</si>
  <si>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</si>
  <si>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</si>
  <si>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</si>
  <si>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</si>
  <si>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</si>
  <si>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</si>
  <si>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</si>
  <si>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</si>
  <si>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</si>
  <si>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</si>
  <si>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</si>
  <si>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</si>
  <si>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</si>
  <si>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</si>
  <si>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</si>
  <si>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</si>
  <si>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</si>
  <si>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</si>
  <si>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</si>
  <si>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</si>
  <si>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</si>
  <si>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</si>
  <si>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</si>
  <si>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</si>
  <si>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</si>
  <si>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</si>
  <si>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</si>
  <si>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</si>
  <si>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</si>
  <si>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</si>
  <si>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</si>
  <si>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</si>
  <si>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</si>
  <si>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</si>
  <si>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</si>
  <si>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2006-2018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</si>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</sst>
</file>

<file path=xl/styles.xml><?xml version="1.0" encoding="utf-8"?>
<styleSheet xmlns="http://schemas.openxmlformats.org/spreadsheetml/2006/main">
  <numFmts count="8">
    <numFmt numFmtId="44" formatCode="_(&quot;$&quot;* #,##0.00_);_(&quot;$&quot;* \(#,##0.00\);_(&quot;$&quot;* &quot;-&quot;??_);_(@_)"/>
    <numFmt numFmtId="42" formatCode="_(&quot;$&quot;* #,##0_);_(&quot;$&quot;* \(#,##0\);_(&quot;$&quot;* &quot;-&quot;_);_(@_)"/>
    <numFmt numFmtId="176" formatCode="_ * #,##0.00_ ;_ * \-#,##0.00_ ;_ * &quot;-&quot;??_ ;_ @_ "/>
    <numFmt numFmtId="177" formatCode="_ * #,##0_ ;_ * \-#,##0_ ;_ * &quot;-&quot;_ ;_ @_ "/>
    <numFmt numFmtId="178" formatCode="m/d/yyyy\ \(dddd\)"/>
    <numFmt numFmtId="179" formatCode="ddd\ m/dd/yy"/>
    <numFmt numFmtId="180" formatCode="d\ mmm\ yyyy"/>
    <numFmt numFmtId="181" formatCode="d"/>
  </numFmts>
  <fonts count="71">
    <font>
      <sz val="10"/>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9"/>
      <name val="黑体"/>
      <charset val="134"/>
      <scheme val="minor"/>
    </font>
    <font>
      <sz val="8"/>
      <name val="黑体"/>
      <charset val="134"/>
      <scheme val="minor"/>
    </font>
    <font>
      <sz val="16"/>
      <color theme="4" tint="-0.249977111117893"/>
      <name val="黑体"/>
      <charset val="134"/>
      <scheme val="major"/>
    </font>
    <font>
      <sz val="14"/>
      <color indexed="56"/>
      <name val="Arial"/>
      <charset val="134"/>
    </font>
    <font>
      <sz val="11"/>
      <name val="黑体"/>
      <charset val="134"/>
      <scheme val="major"/>
    </font>
    <font>
      <sz val="9"/>
      <name val="Arial"/>
      <charset val="134"/>
    </font>
    <font>
      <u/>
      <sz val="8"/>
      <color indexed="12"/>
      <name val="Arial"/>
      <charset val="134"/>
    </font>
    <font>
      <sz val="7"/>
      <color indexed="55"/>
      <name val="Arial"/>
      <charset val="134"/>
    </font>
    <font>
      <sz val="10"/>
      <name val="黑体"/>
      <charset val="134"/>
      <scheme val="major"/>
    </font>
    <font>
      <sz val="10"/>
      <name val="黑体"/>
      <charset val="134"/>
      <scheme val="minor"/>
    </font>
    <font>
      <b/>
      <sz val="9"/>
      <name val="黑体"/>
      <charset val="134"/>
      <scheme val="major"/>
    </font>
    <font>
      <b/>
      <sz val="8"/>
      <name val="黑体"/>
      <charset val="134"/>
      <scheme val="major"/>
    </font>
    <font>
      <b/>
      <sz val="11"/>
      <name val="黑体"/>
      <charset val="134"/>
      <scheme val="minor"/>
    </font>
    <font>
      <sz val="9"/>
      <color rgb="FF000000"/>
      <name val="黑体"/>
      <charset val="134"/>
      <scheme val="minor"/>
    </font>
    <font>
      <i/>
      <sz val="9"/>
      <name val="黑体"/>
      <charset val="134"/>
      <scheme val="minor"/>
    </font>
    <font>
      <b/>
      <sz val="10"/>
      <color rgb="FF000000"/>
      <name val="黑体"/>
      <charset val="134"/>
      <scheme val="minor"/>
    </font>
    <font>
      <sz val="10"/>
      <color rgb="FF000000"/>
      <name val="黑体"/>
      <charset val="134"/>
      <scheme val="minor"/>
    </font>
    <font>
      <b/>
      <sz val="11"/>
      <color rgb="FF000000"/>
      <name val="黑体"/>
      <charset val="134"/>
      <scheme val="minor"/>
    </font>
    <font>
      <i/>
      <sz val="8"/>
      <color theme="1" tint="0.349986266670736"/>
      <name val="Arial"/>
      <charset val="134"/>
    </font>
    <font>
      <u/>
      <sz val="10"/>
      <color indexed="12"/>
      <name val="Arial"/>
      <charset val="134"/>
    </font>
    <font>
      <sz val="11"/>
      <name val="黑体"/>
      <charset val="134"/>
      <scheme val="minor"/>
    </font>
    <font>
      <sz val="14"/>
      <name val="黑体"/>
      <charset val="134"/>
      <scheme val="minor"/>
    </font>
    <font>
      <sz val="14"/>
      <color rgb="FF000000"/>
      <name val="黑体"/>
      <charset val="134"/>
      <scheme val="minor"/>
    </font>
    <font>
      <sz val="11"/>
      <color indexed="8"/>
      <name val="Calibri"/>
      <charset val="134"/>
    </font>
    <font>
      <sz val="11"/>
      <color indexed="53"/>
      <name val="Calibri"/>
      <charset val="134"/>
    </font>
    <font>
      <sz val="11"/>
      <color theme="1"/>
      <name val="黑体"/>
      <charset val="134"/>
      <scheme val="minor"/>
    </font>
    <font>
      <sz val="11"/>
      <color indexed="17"/>
      <name val="Calibri"/>
      <charset val="134"/>
    </font>
    <font>
      <sz val="11"/>
      <color indexed="9"/>
      <name val="Calibri"/>
      <charset val="134"/>
    </font>
    <font>
      <i/>
      <sz val="11"/>
      <color indexed="23"/>
      <name val="Calibri"/>
      <charset val="134"/>
    </font>
    <font>
      <b/>
      <sz val="11"/>
      <color indexed="18"/>
      <name val="Calibri"/>
      <charset val="134"/>
    </font>
    <font>
      <sz val="11"/>
      <color indexed="36"/>
      <name val="Calibri"/>
      <charset val="134"/>
    </font>
    <font>
      <b/>
      <sz val="11"/>
      <color indexed="50"/>
      <name val="Calibri"/>
      <charset val="134"/>
    </font>
    <font>
      <u/>
      <sz val="11"/>
      <color rgb="FF800080"/>
      <name val="黑体"/>
      <charset val="0"/>
      <scheme val="minor"/>
    </font>
    <font>
      <sz val="11"/>
      <color indexed="10"/>
      <name val="Calibri"/>
      <charset val="134"/>
    </font>
    <font>
      <b/>
      <sz val="18"/>
      <color indexed="18"/>
      <name val="Cambria"/>
      <charset val="134"/>
    </font>
    <font>
      <b/>
      <sz val="15"/>
      <color indexed="18"/>
      <name val="Calibri"/>
      <charset val="134"/>
    </font>
    <font>
      <b/>
      <sz val="13"/>
      <color indexed="18"/>
      <name val="Calibri"/>
      <charset val="134"/>
    </font>
    <font>
      <sz val="11"/>
      <color indexed="50"/>
      <name val="Calibri"/>
      <charset val="134"/>
    </font>
    <font>
      <b/>
      <sz val="11"/>
      <color indexed="63"/>
      <name val="Calibri"/>
      <charset val="134"/>
    </font>
    <font>
      <b/>
      <sz val="11"/>
      <color indexed="9"/>
      <name val="Calibri"/>
      <charset val="134"/>
    </font>
    <font>
      <b/>
      <sz val="11"/>
      <color indexed="8"/>
      <name val="Calibri"/>
      <charset val="134"/>
    </font>
    <font>
      <sz val="11"/>
      <color indexed="59"/>
      <name val="Calibri"/>
      <charset val="134"/>
    </font>
    <font>
      <b/>
      <sz val="11"/>
      <color rgb="FFFF0000"/>
      <name val="Arial"/>
      <charset val="134"/>
    </font>
    <font>
      <i/>
      <sz val="11"/>
      <name val="Arial"/>
      <charset val="134"/>
    </font>
    <font>
      <i/>
      <sz val="11"/>
      <color rgb="FF000000"/>
      <name val="Arial"/>
      <charset val="134"/>
    </font>
    <font>
      <i/>
      <u/>
      <sz val="8"/>
      <color theme="1" tint="0.349986266670736"/>
      <name val="Arial"/>
      <charset val="134"/>
    </font>
    <font>
      <i/>
      <sz val="9"/>
      <name val="Tahoma"/>
      <charset val="134"/>
    </font>
    <font>
      <sz val="9"/>
      <name val="Tahoma"/>
      <charset val="134"/>
    </font>
    <font>
      <b/>
      <sz val="9"/>
      <name val="Tahoma"/>
      <charset val="134"/>
    </font>
    <font>
      <b/>
      <i/>
      <sz val="9"/>
      <name val="Tahoma"/>
      <charset val="134"/>
    </font>
    <font>
      <sz val="8"/>
      <name val="Tahoma"/>
      <charset val="134"/>
    </font>
  </fonts>
  <fills count="26">
    <fill>
      <patternFill patternType="none"/>
    </fill>
    <fill>
      <patternFill patternType="gray125"/>
    </fill>
    <fill>
      <patternFill patternType="solid">
        <fgColor indexed="22"/>
        <bgColor indexed="64"/>
      </patternFill>
    </fill>
    <fill>
      <patternFill patternType="solid">
        <fgColor theme="3" tint="0.799981688894314"/>
        <bgColor indexed="64"/>
      </patternFill>
    </fill>
    <fill>
      <patternFill patternType="solid">
        <fgColor theme="0" tint="-0.149998474074526"/>
        <bgColor indexed="64"/>
      </patternFill>
    </fill>
    <fill>
      <patternFill patternType="solid">
        <fgColor indexed="9"/>
        <bgColor indexed="64"/>
      </patternFill>
    </fill>
    <fill>
      <patternFill patternType="solid">
        <fgColor theme="3" tint="0.799981688894314"/>
        <bgColor rgb="FFD6F4D9"/>
      </patternFill>
    </fill>
    <fill>
      <patternFill patternType="solid">
        <fgColor theme="0" tint="-0.149998474074526"/>
        <bgColor rgb="FFD9D9D9"/>
      </patternFill>
    </fill>
    <fill>
      <patternFill patternType="solid">
        <fgColor rgb="FFFFFFFF"/>
        <bgColor rgb="FFFFFFFF"/>
      </patternFill>
    </fill>
    <fill>
      <patternFill patternType="solid">
        <fgColor indexed="51"/>
        <bgColor indexed="64"/>
      </patternFill>
    </fill>
    <fill>
      <patternFill patternType="solid">
        <fgColor indexed="29"/>
        <bgColor indexed="64"/>
      </patternFill>
    </fill>
    <fill>
      <patternFill patternType="solid">
        <fgColor indexed="42"/>
        <bgColor indexed="64"/>
      </patternFill>
    </fill>
    <fill>
      <patternFill patternType="solid">
        <fgColor indexed="26"/>
        <bgColor indexed="64"/>
      </patternFill>
    </fill>
    <fill>
      <patternFill patternType="solid">
        <fgColor indexed="52"/>
        <bgColor indexed="64"/>
      </patternFill>
    </fill>
    <fill>
      <patternFill patternType="solid">
        <fgColor indexed="46"/>
        <bgColor indexed="64"/>
      </patternFill>
    </fill>
    <fill>
      <patternFill patternType="solid">
        <fgColor indexed="61"/>
        <bgColor indexed="64"/>
      </patternFill>
    </fill>
    <fill>
      <patternFill patternType="solid">
        <fgColor indexed="45"/>
        <bgColor indexed="64"/>
      </patternFill>
    </fill>
    <fill>
      <patternFill patternType="solid">
        <fgColor indexed="41"/>
        <bgColor indexed="64"/>
      </patternFill>
    </fill>
    <fill>
      <patternFill patternType="solid">
        <fgColor indexed="20"/>
        <bgColor indexed="64"/>
      </patternFill>
    </fill>
    <fill>
      <patternFill patternType="solid">
        <fgColor indexed="47"/>
        <bgColor indexed="64"/>
      </patternFill>
    </fill>
    <fill>
      <patternFill patternType="solid">
        <fgColor indexed="23"/>
        <bgColor indexed="64"/>
      </patternFill>
    </fill>
    <fill>
      <patternFill patternType="solid">
        <fgColor indexed="55"/>
        <bgColor indexed="64"/>
      </patternFill>
    </fill>
    <fill>
      <patternFill patternType="solid">
        <fgColor indexed="15"/>
        <bgColor indexed="64"/>
      </patternFill>
    </fill>
    <fill>
      <patternFill patternType="solid">
        <fgColor indexed="14"/>
        <bgColor indexed="64"/>
      </patternFill>
    </fill>
    <fill>
      <patternFill patternType="solid">
        <fgColor indexed="40"/>
        <bgColor indexed="64"/>
      </patternFill>
    </fill>
    <fill>
      <patternFill patternType="solid">
        <fgColor indexed="10"/>
        <bgColor indexed="64"/>
      </patternFill>
    </fill>
  </fills>
  <borders count="26">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style="thin">
        <color indexed="22"/>
      </top>
      <bottom style="thin">
        <color indexed="22"/>
      </bottom>
      <diagonal/>
    </border>
    <border>
      <left/>
      <right/>
      <top/>
      <bottom style="thin">
        <color theme="0" tint="-0.249946592608417"/>
      </bottom>
      <diagonal/>
    </border>
    <border>
      <left/>
      <right/>
      <top style="thin">
        <color theme="0" tint="-0.249946592608417"/>
      </top>
      <bottom style="thin">
        <color theme="0" tint="-0.249946592608417"/>
      </bottom>
      <diagonal/>
    </border>
    <border>
      <left/>
      <right/>
      <top/>
      <bottom style="medium">
        <color theme="0" tint="-0.349986266670736"/>
      </bottom>
      <diagonal/>
    </border>
    <border>
      <left/>
      <right/>
      <top/>
      <bottom style="thin">
        <color indexed="22"/>
      </bottom>
      <diagonal/>
    </border>
    <border>
      <left/>
      <right/>
      <top style="thin">
        <color rgb="FFEFEFEF"/>
      </top>
      <bottom style="thin">
        <color rgb="FFEFEFEF"/>
      </bottom>
      <diagonal/>
    </border>
    <border>
      <left/>
      <right/>
      <top style="thin">
        <color auto="1"/>
      </top>
      <bottom style="thin">
        <color auto="1"/>
      </bottom>
      <diagonal/>
    </border>
    <border>
      <left/>
      <right/>
      <top/>
      <bottom style="thin">
        <color rgb="FFEFEFEF"/>
      </bottom>
      <diagonal/>
    </border>
    <border>
      <left style="medium">
        <color theme="0" tint="-0.249946592608417"/>
      </left>
      <right style="thin">
        <color theme="0" tint="-0.249946592608417"/>
      </right>
      <top/>
      <bottom/>
      <diagonal/>
    </border>
    <border>
      <left style="thin">
        <color theme="0" tint="-0.249946592608417"/>
      </left>
      <right style="thin">
        <color theme="0" tint="-0.249946592608417"/>
      </right>
      <top/>
      <bottom/>
      <diagonal/>
    </border>
    <border>
      <left style="medium">
        <color theme="0" tint="-0.249946592608417"/>
      </left>
      <right style="thin">
        <color theme="0" tint="-0.249946592608417"/>
      </right>
      <top/>
      <bottom style="medium">
        <color theme="0" tint="-0.349986266670736"/>
      </bottom>
      <diagonal/>
    </border>
    <border>
      <left style="thin">
        <color theme="0" tint="-0.249946592608417"/>
      </left>
      <right style="thin">
        <color theme="0" tint="-0.249946592608417"/>
      </right>
      <top/>
      <bottom style="medium">
        <color theme="0" tint="-0.349986266670736"/>
      </bottom>
      <diagonal/>
    </border>
    <border>
      <left style="thin">
        <color theme="0" tint="-0.249946592608417"/>
      </left>
      <right style="medium">
        <color theme="0" tint="-0.249946592608417"/>
      </right>
      <top/>
      <bottom/>
      <diagonal/>
    </border>
    <border>
      <left style="thin">
        <color theme="0" tint="-0.249946592608417"/>
      </left>
      <right style="medium">
        <color theme="0" tint="-0.249946592608417"/>
      </right>
      <top/>
      <bottom style="medium">
        <color theme="0" tint="-0.349986266670736"/>
      </bottom>
      <diagonal/>
    </border>
    <border>
      <left style="thin">
        <color indexed="23"/>
      </left>
      <right style="thin">
        <color indexed="23"/>
      </right>
      <top style="thin">
        <color indexed="23"/>
      </top>
      <bottom style="thin">
        <color indexed="23"/>
      </bottom>
      <diagonal/>
    </border>
    <border>
      <left/>
      <right/>
      <top/>
      <bottom style="medium">
        <color indexed="52"/>
      </bottom>
      <diagonal/>
    </border>
    <border>
      <left style="thin">
        <color indexed="55"/>
      </left>
      <right style="thin">
        <color indexed="55"/>
      </right>
      <top style="thin">
        <color indexed="55"/>
      </top>
      <bottom style="thin">
        <color indexed="55"/>
      </bottom>
      <diagonal/>
    </border>
    <border>
      <left/>
      <right/>
      <top/>
      <bottom style="thick">
        <color indexed="40"/>
      </bottom>
      <diagonal/>
    </border>
    <border>
      <left/>
      <right/>
      <top/>
      <bottom style="thick">
        <color indexed="51"/>
      </bottom>
      <diagonal/>
    </border>
    <border>
      <left/>
      <right/>
      <top/>
      <bottom style="double">
        <color indexed="50"/>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style="thin">
        <color indexed="40"/>
      </top>
      <bottom style="double">
        <color indexed="40"/>
      </bottom>
      <diagonal/>
    </border>
  </borders>
  <cellStyleXfs count="49">
    <xf numFmtId="0" fontId="0" fillId="0" borderId="0"/>
    <xf numFmtId="42" fontId="45" fillId="0" borderId="0" applyFont="0" applyFill="0" applyBorder="0" applyAlignment="0" applyProtection="0">
      <alignment vertical="center"/>
    </xf>
    <xf numFmtId="0" fontId="43" fillId="14" borderId="0" applyNumberFormat="0" applyBorder="0" applyAlignment="0" applyProtection="0"/>
    <xf numFmtId="0" fontId="44" fillId="10" borderId="17" applyNumberFormat="0" applyAlignment="0" applyProtection="0"/>
    <xf numFmtId="44" fontId="45" fillId="0" borderId="0" applyFont="0" applyFill="0" applyBorder="0" applyAlignment="0" applyProtection="0">
      <alignment vertical="center"/>
    </xf>
    <xf numFmtId="177" fontId="45" fillId="0" borderId="0" applyFont="0" applyFill="0" applyBorder="0" applyAlignment="0" applyProtection="0">
      <alignment vertical="center"/>
    </xf>
    <xf numFmtId="0" fontId="43" fillId="15" borderId="0" applyNumberFormat="0" applyBorder="0" applyAlignment="0" applyProtection="0"/>
    <xf numFmtId="0" fontId="50" fillId="16" borderId="0" applyNumberFormat="0" applyBorder="0" applyAlignment="0" applyProtection="0"/>
    <xf numFmtId="176" fontId="45" fillId="0" borderId="0" applyFont="0" applyFill="0" applyBorder="0" applyAlignment="0" applyProtection="0">
      <alignment vertical="center"/>
    </xf>
    <xf numFmtId="0" fontId="47" fillId="18" borderId="0" applyNumberFormat="0" applyBorder="0" applyAlignment="0" applyProtection="0"/>
    <xf numFmtId="0" fontId="39" fillId="0" borderId="0" applyNumberFormat="0" applyFill="0" applyBorder="0" applyAlignment="0" applyProtection="0">
      <alignment vertical="top"/>
      <protection locked="0"/>
    </xf>
    <xf numFmtId="9" fontId="0" fillId="0" borderId="0" applyFont="0" applyFill="0" applyBorder="0" applyAlignment="0" applyProtection="0"/>
    <xf numFmtId="0" fontId="52" fillId="0" borderId="0" applyNumberFormat="0" applyFill="0" applyBorder="0" applyAlignment="0" applyProtection="0">
      <alignment vertical="center"/>
    </xf>
    <xf numFmtId="0" fontId="0" fillId="12" borderId="19" applyNumberFormat="0" applyFont="0" applyAlignment="0" applyProtection="0"/>
    <xf numFmtId="0" fontId="47" fillId="18" borderId="0" applyNumberFormat="0" applyBorder="0" applyAlignment="0" applyProtection="0"/>
    <xf numFmtId="0" fontId="49" fillId="0" borderId="0" applyNumberForma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48" fillId="0" borderId="0" applyNumberFormat="0" applyFill="0" applyBorder="0" applyAlignment="0" applyProtection="0"/>
    <xf numFmtId="0" fontId="55" fillId="0" borderId="20" applyNumberFormat="0" applyFill="0" applyAlignment="0" applyProtection="0"/>
    <xf numFmtId="0" fontId="56" fillId="0" borderId="21" applyNumberFormat="0" applyFill="0" applyAlignment="0" applyProtection="0"/>
    <xf numFmtId="0" fontId="47" fillId="13" borderId="0" applyNumberFormat="0" applyBorder="0" applyAlignment="0" applyProtection="0"/>
    <xf numFmtId="0" fontId="49" fillId="0" borderId="18" applyNumberFormat="0" applyFill="0" applyAlignment="0" applyProtection="0"/>
    <xf numFmtId="0" fontId="47" fillId="13" borderId="0" applyNumberFormat="0" applyBorder="0" applyAlignment="0" applyProtection="0"/>
    <xf numFmtId="0" fontId="58" fillId="2" borderId="23" applyNumberFormat="0" applyAlignment="0" applyProtection="0"/>
    <xf numFmtId="0" fontId="51" fillId="2" borderId="17" applyNumberFormat="0" applyAlignment="0" applyProtection="0"/>
    <xf numFmtId="0" fontId="59" fillId="21" borderId="24" applyNumberFormat="0" applyAlignment="0" applyProtection="0"/>
    <xf numFmtId="0" fontId="43" fillId="12" borderId="0" applyNumberFormat="0" applyBorder="0" applyAlignment="0" applyProtection="0"/>
    <xf numFmtId="0" fontId="47" fillId="23" borderId="0" applyNumberFormat="0" applyBorder="0" applyAlignment="0" applyProtection="0"/>
    <xf numFmtId="0" fontId="57" fillId="0" borderId="22" applyNumberFormat="0" applyFill="0" applyAlignment="0" applyProtection="0"/>
    <xf numFmtId="0" fontId="60" fillId="0" borderId="25" applyNumberFormat="0" applyFill="0" applyAlignment="0" applyProtection="0"/>
    <xf numFmtId="0" fontId="46" fillId="11" borderId="0" applyNumberFormat="0" applyBorder="0" applyAlignment="0" applyProtection="0"/>
    <xf numFmtId="0" fontId="61" fillId="12" borderId="0" applyNumberFormat="0" applyBorder="0" applyAlignment="0" applyProtection="0"/>
    <xf numFmtId="0" fontId="43" fillId="17" borderId="0" applyNumberFormat="0" applyBorder="0" applyAlignment="0" applyProtection="0"/>
    <xf numFmtId="0" fontId="47" fillId="24" borderId="0" applyNumberFormat="0" applyBorder="0" applyAlignment="0" applyProtection="0"/>
    <xf numFmtId="0" fontId="43" fillId="19" borderId="0" applyNumberFormat="0" applyBorder="0" applyAlignment="0" applyProtection="0"/>
    <xf numFmtId="0" fontId="43" fillId="9" borderId="0" applyNumberFormat="0" applyBorder="0" applyAlignment="0" applyProtection="0"/>
    <xf numFmtId="0" fontId="43" fillId="14" borderId="0" applyNumberFormat="0" applyBorder="0" applyAlignment="0" applyProtection="0"/>
    <xf numFmtId="0" fontId="43" fillId="15" borderId="0" applyNumberFormat="0" applyBorder="0" applyAlignment="0" applyProtection="0"/>
    <xf numFmtId="0" fontId="47" fillId="18" borderId="0" applyNumberFormat="0" applyBorder="0" applyAlignment="0" applyProtection="0"/>
    <xf numFmtId="0" fontId="47" fillId="20" borderId="0" applyNumberFormat="0" applyBorder="0" applyAlignment="0" applyProtection="0"/>
    <xf numFmtId="0" fontId="43" fillId="19" borderId="0" applyNumberFormat="0" applyBorder="0" applyAlignment="0" applyProtection="0"/>
    <xf numFmtId="0" fontId="43" fillId="9" borderId="0" applyNumberFormat="0" applyBorder="0" applyAlignment="0" applyProtection="0"/>
    <xf numFmtId="0" fontId="47" fillId="22" borderId="0" applyNumberFormat="0" applyBorder="0" applyAlignment="0" applyProtection="0"/>
    <xf numFmtId="0" fontId="43" fillId="17" borderId="0" applyNumberFormat="0" applyBorder="0" applyAlignment="0" applyProtection="0"/>
    <xf numFmtId="0" fontId="47" fillId="24" borderId="0" applyNumberFormat="0" applyBorder="0" applyAlignment="0" applyProtection="0"/>
    <xf numFmtId="0" fontId="47" fillId="25" borderId="0" applyNumberFormat="0" applyBorder="0" applyAlignment="0" applyProtection="0"/>
    <xf numFmtId="0" fontId="43" fillId="12" borderId="0" applyNumberFormat="0" applyBorder="0" applyAlignment="0" applyProtection="0"/>
    <xf numFmtId="0" fontId="47" fillId="10" borderId="0" applyNumberFormat="0" applyBorder="0" applyAlignment="0" applyProtection="0"/>
  </cellStyleXfs>
  <cellXfs count="178">
    <xf numFmtId="0" fontId="0" fillId="0" borderId="0" xfId="0"/>
    <xf numFmtId="0" fontId="0" fillId="0" borderId="0" xfId="0" applyFont="1"/>
    <xf numFmtId="0" fontId="1" fillId="0" borderId="0" xfId="0" applyFont="1" applyFill="1" applyBorder="1" applyAlignment="1">
      <alignment horizontal="left" vertical="center"/>
    </xf>
    <xf numFmtId="0" fontId="0" fillId="0" borderId="0" xfId="0" applyBorder="1"/>
    <xf numFmtId="0" fontId="0" fillId="0" borderId="0" xfId="0" applyFont="1" applyBorder="1"/>
    <xf numFmtId="0" fontId="2" fillId="0" borderId="0" xfId="0" applyFont="1" applyBorder="1" applyAlignment="1">
      <alignment horizontal="left" wrapText="1"/>
    </xf>
    <xf numFmtId="0" fontId="0" fillId="0" borderId="1" xfId="0" applyFont="1" applyBorder="1"/>
    <xf numFmtId="0" fontId="2" fillId="0" borderId="1" xfId="0" applyFont="1" applyBorder="1" applyAlignment="1">
      <alignment horizontal="left" wrapText="1"/>
    </xf>
    <xf numFmtId="0" fontId="0" fillId="0" borderId="1" xfId="0" applyBorder="1"/>
    <xf numFmtId="0" fontId="0" fillId="0" borderId="2" xfId="0" applyFont="1" applyBorder="1"/>
    <xf numFmtId="0" fontId="3" fillId="0" borderId="1" xfId="10" applyFont="1" applyBorder="1" applyAlignment="1" applyProtection="1">
      <alignment wrapText="1"/>
    </xf>
    <xf numFmtId="0" fontId="0" fillId="0" borderId="2" xfId="0" applyBorder="1"/>
    <xf numFmtId="0" fontId="2" fillId="0" borderId="2" xfId="0" applyFont="1" applyBorder="1" applyAlignment="1">
      <alignment horizontal="left" wrapText="1"/>
    </xf>
    <xf numFmtId="0" fontId="4" fillId="0" borderId="2" xfId="0" applyFont="1" applyBorder="1" applyAlignment="1">
      <alignment horizontal="left" wrapText="1"/>
    </xf>
    <xf numFmtId="0" fontId="5" fillId="0" borderId="2" xfId="10" applyFont="1" applyBorder="1" applyAlignment="1" applyProtection="1">
      <alignment horizontal="left" wrapText="1"/>
    </xf>
    <xf numFmtId="0" fontId="2" fillId="0" borderId="2" xfId="0" applyFont="1" applyBorder="1" applyAlignment="1">
      <alignment horizontal="left"/>
    </xf>
    <xf numFmtId="0" fontId="0" fillId="0" borderId="0" xfId="0" applyFont="1" applyAlignment="1"/>
    <xf numFmtId="0" fontId="0" fillId="0" borderId="0" xfId="0" applyFont="1" applyAlignment="1">
      <alignment vertical="center"/>
    </xf>
    <xf numFmtId="0" fontId="6" fillId="0" borderId="0" xfId="0" applyFont="1" applyFill="1" applyBorder="1" applyAlignment="1">
      <alignment horizontal="left" vertical="center"/>
    </xf>
    <xf numFmtId="0" fontId="3" fillId="0" borderId="0" xfId="10" applyFont="1" applyAlignment="1" applyProtection="1"/>
    <xf numFmtId="0" fontId="7" fillId="0" borderId="0" xfId="0" applyFont="1" applyBorder="1" applyAlignment="1">
      <alignment horizontal="right"/>
    </xf>
    <xf numFmtId="0" fontId="8" fillId="0" borderId="0" xfId="0" applyFont="1" applyFill="1" applyBorder="1" applyAlignment="1"/>
    <xf numFmtId="0" fontId="9" fillId="0" borderId="0" xfId="0" applyFont="1" applyFill="1" applyBorder="1" applyAlignment="1"/>
    <xf numFmtId="0" fontId="10" fillId="0" borderId="0" xfId="0" applyFont="1" applyAlignment="1">
      <alignment horizontal="left" wrapText="1"/>
    </xf>
    <xf numFmtId="0" fontId="10" fillId="0" borderId="0" xfId="0" applyFont="1" applyAlignment="1">
      <alignment wrapText="1"/>
    </xf>
    <xf numFmtId="0" fontId="8" fillId="0" borderId="0" xfId="0" applyFont="1" applyFill="1" applyBorder="1" applyAlignment="1">
      <alignment horizontal="left"/>
    </xf>
    <xf numFmtId="0" fontId="11" fillId="0" borderId="0" xfId="0" applyFont="1" applyAlignment="1">
      <alignment vertical="center"/>
    </xf>
    <xf numFmtId="0" fontId="10" fillId="0" borderId="0" xfId="0" applyFont="1" applyAlignment="1">
      <alignment vertical="center" wrapText="1"/>
    </xf>
    <xf numFmtId="0" fontId="10" fillId="0" borderId="0" xfId="0" applyFont="1" applyFill="1" applyBorder="1" applyAlignment="1">
      <alignment vertical="center" wrapText="1"/>
    </xf>
    <xf numFmtId="0" fontId="0" fillId="2" borderId="0" xfId="0" applyFont="1" applyFill="1" applyBorder="1" applyAlignment="1">
      <alignment horizontal="center" vertical="center"/>
    </xf>
    <xf numFmtId="0" fontId="11" fillId="0" borderId="0" xfId="0" applyFont="1"/>
    <xf numFmtId="0" fontId="11" fillId="0" borderId="0" xfId="0" applyFont="1" applyBorder="1"/>
    <xf numFmtId="0" fontId="0" fillId="3" borderId="0" xfId="0" applyFont="1" applyFill="1" applyAlignment="1">
      <alignment horizontal="center" vertical="center"/>
    </xf>
    <xf numFmtId="0" fontId="11" fillId="0" borderId="0" xfId="0" applyFont="1" applyAlignment="1"/>
    <xf numFmtId="0" fontId="12" fillId="0" borderId="0" xfId="0" applyFont="1" applyFill="1" applyBorder="1" applyAlignment="1">
      <alignment vertical="center" wrapText="1"/>
    </xf>
    <xf numFmtId="0" fontId="13" fillId="0" borderId="0" xfId="0" applyFont="1" applyFill="1" applyBorder="1" applyAlignment="1"/>
    <xf numFmtId="0" fontId="14" fillId="0" borderId="0" xfId="0" applyFont="1" applyFill="1" applyBorder="1" applyAlignment="1"/>
    <xf numFmtId="0" fontId="3" fillId="0" borderId="0" xfId="10" applyFont="1" applyFill="1" applyBorder="1" applyAlignment="1" applyProtection="1">
      <alignment vertical="center"/>
    </xf>
    <xf numFmtId="0" fontId="7" fillId="0" borderId="0" xfId="0" applyFont="1" applyAlignment="1">
      <alignment wrapText="1"/>
    </xf>
    <xf numFmtId="0" fontId="0" fillId="0" borderId="0" xfId="0" applyFont="1" applyFill="1" applyBorder="1" applyAlignment="1"/>
    <xf numFmtId="0" fontId="15" fillId="0" borderId="0" xfId="0" applyFont="1" applyAlignment="1">
      <alignment horizontal="right"/>
    </xf>
    <xf numFmtId="0" fontId="10" fillId="0" borderId="0" xfId="0" applyFont="1"/>
    <xf numFmtId="0" fontId="0" fillId="0" borderId="0" xfId="0" applyFont="1" applyAlignment="1">
      <alignment horizontal="left" wrapText="1" indent="1"/>
    </xf>
    <xf numFmtId="0" fontId="14" fillId="0" borderId="0" xfId="0" applyFont="1" applyAlignment="1">
      <alignment horizontal="right"/>
    </xf>
    <xf numFmtId="0" fontId="16" fillId="0" borderId="0" xfId="0" applyFont="1" applyFill="1" applyBorder="1" applyAlignment="1">
      <alignment vertical="center" wrapText="1"/>
    </xf>
    <xf numFmtId="0" fontId="10" fillId="0" borderId="0" xfId="0" applyFont="1" applyAlignment="1"/>
    <xf numFmtId="0" fontId="10" fillId="0" borderId="0" xfId="0" applyFont="1" applyFill="1" applyBorder="1" applyAlignment="1">
      <alignment horizontal="left" vertical="center" wrapText="1"/>
    </xf>
    <xf numFmtId="0" fontId="10" fillId="0" borderId="0" xfId="0" applyFont="1" applyAlignment="1">
      <alignment horizontal="left" indent="1"/>
    </xf>
    <xf numFmtId="0" fontId="16" fillId="0" borderId="0" xfId="0" applyFont="1" applyAlignment="1"/>
    <xf numFmtId="0" fontId="15" fillId="0" borderId="0" xfId="0" applyFont="1" applyAlignment="1">
      <alignment horizontal="left" wrapText="1"/>
    </xf>
    <xf numFmtId="0" fontId="17" fillId="0" borderId="0" xfId="0" applyFont="1" applyAlignment="1">
      <alignment horizontal="left" indent="1"/>
    </xf>
    <xf numFmtId="0" fontId="10" fillId="0" borderId="0" xfId="0" applyFont="1" applyAlignment="1">
      <alignment horizontal="left" wrapText="1" indent="1"/>
    </xf>
    <xf numFmtId="0" fontId="16" fillId="0" borderId="0" xfId="0" applyFont="1"/>
    <xf numFmtId="0" fontId="7" fillId="0" borderId="0" xfId="0" applyFont="1" applyBorder="1" applyAlignment="1">
      <alignment horizontal="left" vertical="center"/>
    </xf>
    <xf numFmtId="0" fontId="1" fillId="0" borderId="0" xfId="0" applyFont="1" applyAlignment="1">
      <alignment vertical="center"/>
    </xf>
    <xf numFmtId="0" fontId="13" fillId="0" borderId="0" xfId="0" applyFont="1"/>
    <xf numFmtId="0" fontId="18" fillId="0" borderId="0" xfId="10" applyFont="1" applyAlignment="1" applyProtection="1"/>
    <xf numFmtId="0" fontId="19" fillId="0" borderId="0" xfId="0" applyFont="1"/>
    <xf numFmtId="0" fontId="9" fillId="0" borderId="0" xfId="0" applyFont="1"/>
    <xf numFmtId="0" fontId="17" fillId="0" borderId="0" xfId="0" applyFont="1"/>
    <xf numFmtId="0" fontId="0" fillId="0" borderId="0" xfId="0" applyFont="1" applyFill="1" applyBorder="1" applyAlignment="1" applyProtection="1"/>
    <xf numFmtId="0" fontId="20" fillId="4" borderId="3" xfId="0" applyFont="1" applyFill="1" applyBorder="1" applyAlignment="1" applyProtection="1">
      <alignment vertical="center"/>
    </xf>
    <xf numFmtId="0" fontId="20" fillId="0" borderId="3" xfId="0" applyFont="1" applyFill="1" applyBorder="1" applyAlignment="1" applyProtection="1">
      <alignment vertical="center"/>
    </xf>
    <xf numFmtId="0" fontId="20" fillId="0" borderId="0" xfId="0" applyFont="1" applyFill="1" applyBorder="1" applyAlignment="1" applyProtection="1">
      <alignment vertical="center"/>
    </xf>
    <xf numFmtId="0" fontId="21" fillId="0" borderId="0" xfId="0" applyFont="1" applyFill="1" applyBorder="1" applyAlignment="1" applyProtection="1">
      <alignment vertical="center"/>
    </xf>
    <xf numFmtId="0" fontId="0" fillId="0" borderId="0" xfId="0" applyFill="1" applyBorder="1" applyProtection="1">
      <protection locked="0"/>
    </xf>
    <xf numFmtId="0" fontId="0" fillId="0" borderId="0" xfId="0" applyNumberFormat="1" applyFill="1" applyBorder="1" applyProtection="1"/>
    <xf numFmtId="0" fontId="0" fillId="0" borderId="0" xfId="0" applyProtection="1"/>
    <xf numFmtId="0" fontId="0" fillId="0" borderId="0" xfId="0" applyNumberFormat="1" applyProtection="1"/>
    <xf numFmtId="0" fontId="0" fillId="0" borderId="0" xfId="0" applyFill="1" applyBorder="1" applyProtection="1"/>
    <xf numFmtId="0" fontId="22" fillId="0" borderId="0" xfId="0" applyNumberFormat="1" applyFont="1" applyFill="1" applyBorder="1" applyAlignment="1" applyProtection="1">
      <alignment vertical="center"/>
      <protection locked="0"/>
    </xf>
    <xf numFmtId="0" fontId="23" fillId="0" borderId="0" xfId="0" applyNumberFormat="1" applyFont="1" applyFill="1" applyBorder="1" applyAlignment="1" applyProtection="1">
      <alignment vertical="center"/>
      <protection locked="0"/>
    </xf>
    <xf numFmtId="0" fontId="24" fillId="0" borderId="0" xfId="0" applyNumberFormat="1" applyFont="1" applyAlignment="1" applyProtection="1">
      <alignment vertical="center"/>
      <protection locked="0"/>
    </xf>
    <xf numFmtId="0" fontId="25" fillId="0" borderId="0" xfId="0" applyNumberFormat="1" applyFont="1" applyAlignment="1" applyProtection="1">
      <protection locked="0"/>
    </xf>
    <xf numFmtId="0" fontId="26" fillId="5" borderId="0" xfId="10" applyNumberFormat="1" applyFont="1" applyFill="1" applyAlignment="1" applyProtection="1">
      <alignment horizontal="right"/>
      <protection locked="0"/>
    </xf>
    <xf numFmtId="0" fontId="27" fillId="0" borderId="0" xfId="0" applyFont="1" applyAlignment="1" applyProtection="1">
      <protection locked="0"/>
    </xf>
    <xf numFmtId="0" fontId="0" fillId="5" borderId="0" xfId="0" applyFill="1" applyBorder="1" applyProtection="1"/>
    <xf numFmtId="0" fontId="0" fillId="0" borderId="0" xfId="0" applyFont="1" applyFill="1" applyAlignment="1" applyProtection="1"/>
    <xf numFmtId="0" fontId="0" fillId="0" borderId="0" xfId="0" applyFill="1" applyAlignment="1" applyProtection="1"/>
    <xf numFmtId="0" fontId="28" fillId="0" borderId="0" xfId="0" applyNumberFormat="1" applyFont="1" applyFill="1" applyBorder="1" applyProtection="1"/>
    <xf numFmtId="0" fontId="28" fillId="0" borderId="0" xfId="0" applyFont="1" applyFill="1" applyAlignment="1" applyProtection="1">
      <alignment horizontal="right" vertical="center"/>
    </xf>
    <xf numFmtId="178" fontId="29" fillId="0" borderId="4" xfId="0" applyNumberFormat="1" applyFont="1" applyFill="1" applyBorder="1" applyAlignment="1" applyProtection="1">
      <alignment horizontal="center" vertical="center" shrinkToFit="1"/>
      <protection locked="0"/>
    </xf>
    <xf numFmtId="0" fontId="28" fillId="0" borderId="0" xfId="0" applyFont="1" applyFill="1" applyBorder="1" applyProtection="1"/>
    <xf numFmtId="0" fontId="29" fillId="0" borderId="4" xfId="0" applyNumberFormat="1" applyFont="1" applyFill="1" applyBorder="1" applyAlignment="1" applyProtection="1">
      <alignment horizontal="center" vertical="center"/>
      <protection locked="0"/>
    </xf>
    <xf numFmtId="178" fontId="29" fillId="0" borderId="5" xfId="0" applyNumberFormat="1" applyFont="1" applyFill="1" applyBorder="1" applyAlignment="1" applyProtection="1">
      <alignment horizontal="center" vertical="center" shrinkToFit="1"/>
      <protection locked="0"/>
    </xf>
    <xf numFmtId="0" fontId="28" fillId="0" borderId="0" xfId="0" applyFont="1" applyProtection="1"/>
    <xf numFmtId="0" fontId="28" fillId="0" borderId="0" xfId="0" applyNumberFormat="1" applyFont="1" applyProtection="1"/>
    <xf numFmtId="0" fontId="30" fillId="0" borderId="6" xfId="0" applyNumberFormat="1" applyFont="1" applyFill="1" applyBorder="1" applyAlignment="1" applyProtection="1">
      <alignment horizontal="left" vertical="center"/>
    </xf>
    <xf numFmtId="0" fontId="30" fillId="0" borderId="6" xfId="0" applyFont="1" applyFill="1" applyBorder="1" applyAlignment="1" applyProtection="1">
      <alignment horizontal="left" vertical="center"/>
    </xf>
    <xf numFmtId="0" fontId="30" fillId="0" borderId="6" xfId="0" applyFont="1" applyFill="1" applyBorder="1" applyAlignment="1" applyProtection="1">
      <alignment horizontal="center" vertical="center" wrapText="1"/>
    </xf>
    <xf numFmtId="0" fontId="31" fillId="0" borderId="6" xfId="0" applyNumberFormat="1" applyFont="1" applyFill="1" applyBorder="1" applyAlignment="1" applyProtection="1">
      <alignment horizontal="center" vertical="center" wrapText="1"/>
    </xf>
    <xf numFmtId="0" fontId="30" fillId="0" borderId="6" xfId="0" applyFont="1" applyFill="1" applyBorder="1" applyAlignment="1" applyProtection="1">
      <alignment horizontal="center" vertical="center"/>
    </xf>
    <xf numFmtId="0" fontId="32" fillId="4" borderId="7" xfId="0" applyNumberFormat="1" applyFont="1" applyFill="1" applyBorder="1" applyAlignment="1" applyProtection="1">
      <alignment horizontal="left" vertical="center"/>
    </xf>
    <xf numFmtId="0" fontId="32" fillId="4" borderId="7" xfId="0" applyFont="1" applyFill="1" applyBorder="1" applyAlignment="1" applyProtection="1">
      <alignment vertical="center"/>
    </xf>
    <xf numFmtId="0" fontId="20" fillId="4" borderId="7" xfId="0" applyFont="1" applyFill="1" applyBorder="1" applyAlignment="1" applyProtection="1">
      <alignment vertical="center"/>
    </xf>
    <xf numFmtId="0" fontId="20" fillId="4" borderId="7" xfId="0" applyNumberFormat="1" applyFont="1" applyFill="1" applyBorder="1" applyAlignment="1" applyProtection="1">
      <alignment horizontal="center" vertical="center"/>
    </xf>
    <xf numFmtId="179" fontId="20" fillId="4" borderId="7" xfId="0" applyNumberFormat="1" applyFont="1" applyFill="1" applyBorder="1" applyAlignment="1" applyProtection="1">
      <alignment horizontal="right" vertical="center"/>
    </xf>
    <xf numFmtId="179" fontId="20" fillId="4" borderId="7" xfId="0" applyNumberFormat="1" applyFont="1" applyFill="1" applyBorder="1" applyAlignment="1" applyProtection="1">
      <alignment horizontal="center" vertical="center"/>
    </xf>
    <xf numFmtId="1" fontId="20" fillId="4" borderId="7" xfId="11" applyNumberFormat="1" applyFont="1" applyFill="1" applyBorder="1" applyAlignment="1" applyProtection="1">
      <alignment horizontal="center" vertical="center"/>
    </xf>
    <xf numFmtId="9" fontId="20" fillId="4" borderId="7" xfId="11" applyFont="1" applyFill="1" applyBorder="1" applyAlignment="1" applyProtection="1">
      <alignment horizontal="center" vertical="center"/>
    </xf>
    <xf numFmtId="0" fontId="20" fillId="0" borderId="3" xfId="0" applyNumberFormat="1" applyFont="1" applyFill="1" applyBorder="1" applyAlignment="1" applyProtection="1">
      <alignment horizontal="left" vertical="center"/>
    </xf>
    <xf numFmtId="0" fontId="20" fillId="0" borderId="3" xfId="0" applyFont="1" applyFill="1" applyBorder="1" applyAlignment="1" applyProtection="1">
      <alignment vertical="center" wrapText="1"/>
    </xf>
    <xf numFmtId="0" fontId="33" fillId="0" borderId="8" xfId="0" applyFont="1" applyFill="1" applyBorder="1" applyAlignment="1" applyProtection="1">
      <alignment horizontal="center" vertical="center"/>
    </xf>
    <xf numFmtId="179" fontId="33" fillId="6" borderId="8" xfId="0" applyNumberFormat="1" applyFont="1" applyFill="1" applyBorder="1" applyAlignment="1" applyProtection="1">
      <alignment horizontal="center" vertical="center"/>
    </xf>
    <xf numFmtId="179" fontId="33" fillId="0" borderId="8" xfId="0" applyNumberFormat="1" applyFont="1" applyBorder="1" applyAlignment="1" applyProtection="1">
      <alignment horizontal="center" vertical="center"/>
    </xf>
    <xf numFmtId="1" fontId="33" fillId="3" borderId="8" xfId="0" applyNumberFormat="1" applyFont="1" applyFill="1" applyBorder="1" applyAlignment="1" applyProtection="1">
      <alignment horizontal="center" vertical="center"/>
    </xf>
    <xf numFmtId="9" fontId="33" fillId="3" borderId="8" xfId="11" applyFont="1" applyFill="1" applyBorder="1" applyAlignment="1" applyProtection="1">
      <alignment horizontal="center" vertical="center"/>
    </xf>
    <xf numFmtId="0" fontId="20" fillId="0" borderId="3" xfId="0" applyFont="1" applyFill="1" applyBorder="1" applyAlignment="1" applyProtection="1">
      <alignment horizontal="left" vertical="center" wrapText="1" indent="1"/>
    </xf>
    <xf numFmtId="0" fontId="33" fillId="0" borderId="9" xfId="0" applyFont="1" applyFill="1" applyBorder="1" applyAlignment="1" applyProtection="1">
      <alignment horizontal="center" vertical="center"/>
    </xf>
    <xf numFmtId="9" fontId="33" fillId="3" borderId="8" xfId="11" applyNumberFormat="1" applyFont="1" applyFill="1" applyBorder="1" applyAlignment="1" applyProtection="1">
      <alignment horizontal="center" vertical="center"/>
    </xf>
    <xf numFmtId="1" fontId="33" fillId="3" borderId="9" xfId="0" applyNumberFormat="1" applyFont="1" applyFill="1" applyBorder="1" applyAlignment="1" applyProtection="1">
      <alignment horizontal="center" vertical="center"/>
    </xf>
    <xf numFmtId="0" fontId="32" fillId="4" borderId="3" xfId="0" applyNumberFormat="1" applyFont="1" applyFill="1" applyBorder="1" applyAlignment="1" applyProtection="1">
      <alignment horizontal="left" vertical="center"/>
    </xf>
    <xf numFmtId="0" fontId="32" fillId="4" borderId="3" xfId="0" applyFont="1" applyFill="1" applyBorder="1" applyAlignment="1" applyProtection="1">
      <alignment vertical="center"/>
    </xf>
    <xf numFmtId="0" fontId="20" fillId="4" borderId="3" xfId="0" applyNumberFormat="1" applyFont="1" applyFill="1" applyBorder="1" applyAlignment="1" applyProtection="1">
      <alignment horizontal="center" vertical="center"/>
    </xf>
    <xf numFmtId="179" fontId="20" fillId="4" borderId="3" xfId="0" applyNumberFormat="1" applyFont="1" applyFill="1" applyBorder="1" applyAlignment="1" applyProtection="1">
      <alignment horizontal="center" vertical="center"/>
    </xf>
    <xf numFmtId="1" fontId="20" fillId="4" borderId="3" xfId="11" applyNumberFormat="1" applyFont="1" applyFill="1" applyBorder="1" applyAlignment="1" applyProtection="1">
      <alignment horizontal="center" vertical="center"/>
    </xf>
    <xf numFmtId="9" fontId="20" fillId="4" borderId="3" xfId="11" applyFont="1" applyFill="1" applyBorder="1" applyAlignment="1" applyProtection="1">
      <alignment horizontal="center" vertical="center"/>
    </xf>
    <xf numFmtId="179" fontId="33" fillId="0" borderId="8" xfId="0" applyNumberFormat="1" applyFont="1" applyFill="1" applyBorder="1" applyAlignment="1" applyProtection="1">
      <alignment horizontal="center" vertical="center"/>
    </xf>
    <xf numFmtId="9" fontId="33" fillId="3" borderId="9" xfId="11" applyNumberFormat="1" applyFont="1" applyFill="1" applyBorder="1" applyAlignment="1" applyProtection="1">
      <alignment horizontal="center" vertical="center"/>
    </xf>
    <xf numFmtId="0" fontId="33" fillId="0" borderId="9" xfId="0" applyFont="1" applyFill="1" applyBorder="1" applyAlignment="1" applyProtection="1">
      <alignment horizontal="center" vertical="center"/>
    </xf>
    <xf numFmtId="1" fontId="33" fillId="3" borderId="9" xfId="0" applyNumberFormat="1" applyFont="1" applyFill="1" applyBorder="1" applyAlignment="1" applyProtection="1">
      <alignment horizontal="center" vertical="center"/>
    </xf>
    <xf numFmtId="9" fontId="33" fillId="3" borderId="9" xfId="11" applyNumberFormat="1" applyFont="1" applyFill="1" applyBorder="1" applyAlignment="1" applyProtection="1">
      <alignment horizontal="center" vertical="center"/>
    </xf>
    <xf numFmtId="0" fontId="34" fillId="0" borderId="3" xfId="0" applyFont="1" applyFill="1" applyBorder="1" applyAlignment="1" applyProtection="1">
      <alignment vertical="center"/>
    </xf>
    <xf numFmtId="0" fontId="20" fillId="0" borderId="3" xfId="0" applyNumberFormat="1" applyFont="1" applyFill="1" applyBorder="1" applyAlignment="1" applyProtection="1">
      <alignment horizontal="center" vertical="center"/>
    </xf>
    <xf numFmtId="0" fontId="34" fillId="0" borderId="3" xfId="0" applyFont="1" applyFill="1" applyBorder="1" applyAlignment="1" applyProtection="1">
      <alignment horizontal="center" vertical="center"/>
    </xf>
    <xf numFmtId="1" fontId="20" fillId="0" borderId="3" xfId="11" applyNumberFormat="1" applyFont="1" applyFill="1" applyBorder="1" applyAlignment="1" applyProtection="1">
      <alignment horizontal="center" vertical="center"/>
    </xf>
    <xf numFmtId="9" fontId="20" fillId="0" borderId="3" xfId="11" applyFont="1" applyFill="1" applyBorder="1" applyAlignment="1" applyProtection="1">
      <alignment horizontal="center" vertical="center"/>
    </xf>
    <xf numFmtId="0" fontId="35" fillId="7" borderId="0" xfId="0" applyFont="1" applyFill="1" applyBorder="1" applyAlignment="1" applyProtection="1">
      <alignment vertical="center"/>
    </xf>
    <xf numFmtId="0" fontId="29" fillId="4" borderId="0" xfId="0" applyFont="1" applyFill="1" applyAlignment="1" applyProtection="1">
      <alignment vertical="center"/>
    </xf>
    <xf numFmtId="0" fontId="36" fillId="7" borderId="0" xfId="0" applyFont="1" applyFill="1" applyBorder="1" applyAlignment="1" applyProtection="1">
      <alignment vertical="center"/>
    </xf>
    <xf numFmtId="0" fontId="36" fillId="7" borderId="0" xfId="0" applyFont="1" applyFill="1" applyBorder="1" applyAlignment="1" applyProtection="1">
      <alignment horizontal="center" vertical="center"/>
    </xf>
    <xf numFmtId="0" fontId="21" fillId="4" borderId="0" xfId="0" applyFont="1" applyFill="1" applyAlignment="1" applyProtection="1">
      <alignment vertical="center"/>
    </xf>
    <xf numFmtId="0" fontId="33" fillId="7" borderId="0" xfId="0" applyFont="1" applyFill="1" applyBorder="1" applyAlignment="1" applyProtection="1">
      <alignment vertical="center"/>
    </xf>
    <xf numFmtId="0" fontId="20" fillId="4" borderId="0" xfId="0" applyFont="1" applyFill="1" applyAlignment="1" applyProtection="1">
      <alignment vertical="center"/>
    </xf>
    <xf numFmtId="0" fontId="20" fillId="4" borderId="0" xfId="0" applyFont="1" applyFill="1" applyAlignment="1" applyProtection="1">
      <alignment horizontal="center" vertical="center"/>
    </xf>
    <xf numFmtId="0" fontId="32" fillId="0" borderId="3" xfId="0" applyNumberFormat="1" applyFont="1" applyFill="1" applyBorder="1" applyAlignment="1" applyProtection="1">
      <alignment horizontal="left" vertical="center"/>
    </xf>
    <xf numFmtId="0" fontId="37" fillId="8" borderId="10" xfId="0" applyFont="1" applyFill="1" applyBorder="1" applyAlignment="1" applyProtection="1">
      <alignment vertical="center"/>
    </xf>
    <xf numFmtId="0" fontId="33" fillId="8" borderId="10" xfId="0" applyFont="1" applyFill="1" applyBorder="1" applyAlignment="1" applyProtection="1">
      <alignment vertical="center"/>
    </xf>
    <xf numFmtId="0" fontId="0" fillId="0" borderId="0" xfId="0" applyFont="1" applyAlignment="1" applyProtection="1">
      <alignment horizontal="right" vertical="center"/>
    </xf>
    <xf numFmtId="0" fontId="38" fillId="0" borderId="0" xfId="10" applyFont="1" applyBorder="1" applyAlignment="1" applyProtection="1">
      <alignment horizontal="left" vertical="center"/>
    </xf>
    <xf numFmtId="0" fontId="39" fillId="0" borderId="0" xfId="10" applyAlignment="1" applyProtection="1">
      <alignment horizontal="left"/>
    </xf>
    <xf numFmtId="0" fontId="0" fillId="0" borderId="0" xfId="0" applyFont="1" applyFill="1" applyBorder="1" applyProtection="1"/>
    <xf numFmtId="0" fontId="40" fillId="0" borderId="11" xfId="0" applyNumberFormat="1" applyFont="1" applyFill="1" applyBorder="1" applyAlignment="1" applyProtection="1">
      <alignment horizontal="center" vertical="center"/>
    </xf>
    <xf numFmtId="0" fontId="40" fillId="0" borderId="12" xfId="0" applyNumberFormat="1" applyFont="1" applyFill="1" applyBorder="1" applyAlignment="1" applyProtection="1">
      <alignment horizontal="center" vertical="center"/>
    </xf>
    <xf numFmtId="180" fontId="29" fillId="0" borderId="11" xfId="0" applyNumberFormat="1" applyFont="1" applyFill="1" applyBorder="1" applyAlignment="1" applyProtection="1">
      <alignment horizontal="center" vertical="center"/>
    </xf>
    <xf numFmtId="180" fontId="29" fillId="0" borderId="12" xfId="0" applyNumberFormat="1" applyFont="1" applyFill="1" applyBorder="1" applyAlignment="1" applyProtection="1">
      <alignment horizontal="center" vertical="center"/>
    </xf>
    <xf numFmtId="181" fontId="7" fillId="0" borderId="11" xfId="0" applyNumberFormat="1" applyFont="1" applyFill="1" applyBorder="1" applyAlignment="1" applyProtection="1">
      <alignment horizontal="center" vertical="center" shrinkToFit="1"/>
    </xf>
    <xf numFmtId="181" fontId="7" fillId="0" borderId="12" xfId="0" applyNumberFormat="1" applyFont="1" applyFill="1" applyBorder="1" applyAlignment="1" applyProtection="1">
      <alignment horizontal="center" vertical="center" shrinkToFit="1"/>
    </xf>
    <xf numFmtId="0" fontId="20" fillId="0" borderId="13" xfId="0" applyNumberFormat="1" applyFont="1" applyFill="1" applyBorder="1" applyAlignment="1" applyProtection="1">
      <alignment horizontal="center" vertical="center" shrinkToFit="1"/>
    </xf>
    <xf numFmtId="0" fontId="20" fillId="0" borderId="14" xfId="0" applyNumberFormat="1" applyFont="1" applyFill="1" applyBorder="1" applyAlignment="1" applyProtection="1">
      <alignment horizontal="center" vertical="center" shrinkToFit="1"/>
    </xf>
    <xf numFmtId="1" fontId="20" fillId="4" borderId="7" xfId="0" applyNumberFormat="1" applyFont="1" applyFill="1" applyBorder="1" applyAlignment="1" applyProtection="1">
      <alignment horizontal="center" vertical="center"/>
    </xf>
    <xf numFmtId="1" fontId="41" fillId="4" borderId="7" xfId="0" applyNumberFormat="1" applyFont="1" applyFill="1" applyBorder="1" applyAlignment="1" applyProtection="1">
      <alignment horizontal="center" vertical="center"/>
    </xf>
    <xf numFmtId="0" fontId="20" fillId="4" borderId="7" xfId="0" applyFont="1" applyFill="1" applyBorder="1" applyAlignment="1" applyProtection="1">
      <alignment horizontal="left" vertical="center"/>
    </xf>
    <xf numFmtId="1" fontId="33" fillId="0" borderId="8" xfId="0" applyNumberFormat="1" applyFont="1" applyBorder="1" applyAlignment="1" applyProtection="1">
      <alignment horizontal="center" vertical="center"/>
    </xf>
    <xf numFmtId="1" fontId="42" fillId="0" borderId="8" xfId="0" applyNumberFormat="1" applyFont="1" applyBorder="1" applyAlignment="1" applyProtection="1">
      <alignment horizontal="center" vertical="center"/>
    </xf>
    <xf numFmtId="0" fontId="20" fillId="0" borderId="3" xfId="0" applyFont="1" applyFill="1" applyBorder="1" applyAlignment="1" applyProtection="1">
      <alignment horizontal="left" vertical="center"/>
    </xf>
    <xf numFmtId="9" fontId="20" fillId="0" borderId="3" xfId="0" applyNumberFormat="1" applyFont="1" applyFill="1" applyBorder="1" applyAlignment="1" applyProtection="1">
      <alignment horizontal="left" vertical="center"/>
    </xf>
    <xf numFmtId="1" fontId="33" fillId="0" borderId="9" xfId="0" applyNumberFormat="1" applyFont="1" applyBorder="1" applyAlignment="1" applyProtection="1">
      <alignment horizontal="center" vertical="center"/>
    </xf>
    <xf numFmtId="1" fontId="42" fillId="0" borderId="9" xfId="0" applyNumberFormat="1" applyFont="1" applyBorder="1" applyAlignment="1" applyProtection="1">
      <alignment horizontal="center" vertical="center"/>
    </xf>
    <xf numFmtId="1" fontId="20" fillId="4" borderId="3" xfId="0" applyNumberFormat="1" applyFont="1" applyFill="1" applyBorder="1" applyAlignment="1" applyProtection="1">
      <alignment horizontal="center" vertical="center"/>
    </xf>
    <xf numFmtId="1" fontId="41" fillId="4" borderId="3" xfId="0" applyNumberFormat="1" applyFont="1" applyFill="1" applyBorder="1" applyAlignment="1" applyProtection="1">
      <alignment horizontal="center" vertical="center"/>
    </xf>
    <xf numFmtId="0" fontId="20" fillId="4" borderId="3" xfId="0" applyFont="1" applyFill="1" applyBorder="1" applyAlignment="1" applyProtection="1">
      <alignment horizontal="left" vertical="center"/>
    </xf>
    <xf numFmtId="1" fontId="33" fillId="0" borderId="9" xfId="0" applyNumberFormat="1" applyFont="1" applyBorder="1" applyAlignment="1" applyProtection="1">
      <alignment horizontal="center" vertical="center"/>
    </xf>
    <xf numFmtId="1" fontId="42" fillId="0" borderId="9" xfId="0" applyNumberFormat="1" applyFont="1" applyBorder="1" applyAlignment="1" applyProtection="1">
      <alignment horizontal="center" vertical="center"/>
    </xf>
    <xf numFmtId="1" fontId="20" fillId="0" borderId="3" xfId="0" applyNumberFormat="1" applyFont="1" applyFill="1" applyBorder="1" applyAlignment="1" applyProtection="1">
      <alignment horizontal="center" vertical="center"/>
    </xf>
    <xf numFmtId="1" fontId="41" fillId="0" borderId="3" xfId="0" applyNumberFormat="1" applyFont="1" applyFill="1" applyBorder="1" applyAlignment="1" applyProtection="1">
      <alignment horizontal="center" vertical="center"/>
    </xf>
    <xf numFmtId="0" fontId="41" fillId="4" borderId="0" xfId="0" applyFont="1" applyFill="1" applyAlignment="1" applyProtection="1">
      <alignment vertical="center"/>
    </xf>
    <xf numFmtId="1" fontId="33" fillId="0" borderId="8" xfId="0" applyNumberFormat="1" applyFont="1" applyFill="1" applyBorder="1" applyAlignment="1" applyProtection="1">
      <alignment horizontal="center" vertical="center"/>
    </xf>
    <xf numFmtId="1" fontId="42" fillId="0" borderId="8" xfId="0" applyNumberFormat="1" applyFont="1" applyFill="1" applyBorder="1" applyAlignment="1" applyProtection="1">
      <alignment horizontal="center" vertical="center"/>
    </xf>
    <xf numFmtId="0" fontId="40" fillId="0" borderId="15" xfId="0" applyNumberFormat="1" applyFont="1" applyFill="1" applyBorder="1" applyAlignment="1" applyProtection="1">
      <alignment horizontal="center" vertical="center"/>
    </xf>
    <xf numFmtId="180" fontId="29" fillId="0" borderId="15" xfId="0" applyNumberFormat="1" applyFont="1" applyFill="1" applyBorder="1" applyAlignment="1" applyProtection="1">
      <alignment horizontal="center" vertical="center"/>
    </xf>
    <xf numFmtId="181" fontId="7" fillId="0" borderId="15" xfId="0" applyNumberFormat="1" applyFont="1" applyFill="1" applyBorder="1" applyAlignment="1" applyProtection="1">
      <alignment horizontal="center" vertical="center" shrinkToFit="1"/>
    </xf>
    <xf numFmtId="0" fontId="20" fillId="0" borderId="16" xfId="0" applyNumberFormat="1" applyFont="1" applyFill="1" applyBorder="1" applyAlignment="1" applyProtection="1">
      <alignment horizontal="center" vertical="center" shrinkToFit="1"/>
    </xf>
    <xf numFmtId="0" fontId="33" fillId="0" borderId="8" xfId="0" applyFont="1" applyBorder="1" applyAlignment="1" applyProtection="1">
      <alignment vertical="center"/>
    </xf>
    <xf numFmtId="0" fontId="33" fillId="0" borderId="8" xfId="0" applyFont="1" applyBorder="1" applyAlignment="1" applyProtection="1">
      <alignment horizontal="left" vertical="center"/>
    </xf>
    <xf numFmtId="0" fontId="39" fillId="0" borderId="0" xfId="10" applyNumberFormat="1" applyFill="1" applyBorder="1" applyAlignment="1" applyProtection="1"/>
    <xf numFmtId="0" fontId="0" fillId="0" borderId="0" xfId="0" applyProtection="1">
      <protection locked="0"/>
    </xf>
    <xf numFmtId="0" fontId="0" fillId="0" borderId="0" xfId="0" applyNumberFormat="1" applyProtection="1">
      <protection locked="0"/>
    </xf>
    <xf numFmtId="0" fontId="10" fillId="0" borderId="0" xfId="0" applyFont="1" applyAlignment="1" quotePrefix="1">
      <alignment horizontal="left" wrapText="1" indent="1"/>
    </xf>
    <xf numFmtId="0" fontId="10" fillId="0" borderId="0" xfId="0" applyFont="1" applyAlignment="1" quotePrefix="1">
      <alignmen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4">
    <dxf>
      <font>
        <color theme="0"/>
      </font>
      <fill>
        <patternFill patternType="solid">
          <bgColor theme="5"/>
        </patternFill>
      </fill>
    </dxf>
    <dxf>
      <border>
        <left style="thin">
          <color rgb="FFC00000"/>
        </left>
        <right style="thin">
          <color rgb="FFC00000"/>
        </right>
      </border>
    </dxf>
    <dxf>
      <fill>
        <patternFill patternType="solid">
          <bgColor theme="0" tint="-0.499984740745262"/>
        </patternFill>
      </fill>
    </dxf>
    <dxf>
      <fill>
        <patternFill patternType="solid">
          <bgColor rgb="FF0070C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00FFCCCC"/>
      <color rgb="00FF9900"/>
      <color rgb="0091D0FF"/>
      <color rgb="00CC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Scroll" dx="22" fmlaLink="$H$4" horiz="1" max="100" min="1" val="1"/>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7</xdr:col>
      <xdr:colOff>97790</xdr:colOff>
      <xdr:row>5</xdr:row>
      <xdr:rowOff>142875</xdr:rowOff>
    </xdr:from>
    <xdr:to>
      <xdr:col>25</xdr:col>
      <xdr:colOff>93345</xdr:colOff>
      <xdr:row>9</xdr:row>
      <xdr:rowOff>301413</xdr:rowOff>
    </xdr:to>
    <xdr:sp>
      <xdr:nvSpPr>
        <xdr:cNvPr id="8236" name="Text Box 44" hidden="1"/>
        <xdr:cNvSpPr txBox="1">
          <a:spLocks noChangeArrowheads="1"/>
        </xdr:cNvSpPr>
      </xdr:nvSpPr>
      <xdr:spPr>
        <a:xfrm>
          <a:off x="5086350" y="1373505"/>
          <a:ext cx="3519170" cy="1051560"/>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xdr:nvSpPr>
            <xdr:cNvPr id="8238" name="Scroll Bar 46" hidden="1">
              <a:extLst>
                <a:ext uri="{63B3BB69-23CF-44E3-9099-C40C66FF867C}">
                  <a14:compatExt spid="_x0000_s8238"/>
                </a:ext>
              </a:extLst>
            </xdr:cNvPr>
            <xdr:cNvSpPr/>
          </xdr:nvSpPr>
          <xdr:spPr>
            <a:xfrm>
              <a:off x="5984875" y="504825"/>
              <a:ext cx="2964815" cy="219075"/>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504190" y="678180"/>
          <a:ext cx="2019300" cy="1798320"/>
        </a:xfrm>
        <a:prstGeom prst="rect">
          <a:avLst/>
        </a:prstGeom>
        <a:noFill/>
        <a:ln>
          <a:noFill/>
        </a:ln>
        <a:effectLst/>
        <a:extLst>
          <a:ext uri="{909E8E84-426E-40DD-AFC4-6F175D3DCCD1}">
            <a14:hiddenFill xmlns:a14="http://schemas.microsoft.com/office/drawing/2010/main">
              <a:solidFill>
                <a:srgbClr xmlns:mc="http://schemas.openxmlformats.org/markup-compatibility/2006" xmlns:a14="http://schemas.microsoft.com/office/drawing/2010/main" val="000000" mc:Ignorable="a14" a14:legacySpreadsheetColorIndex="64"/>
              </a:solidFill>
            </a14:hiddenFill>
          </a:ext>
          <a:ext uri="{91240B29-F687-4F45-9708-019B960494DF}">
            <a14:hiddenLine xmlns:a14="http://schemas.microsoft.com/office/drawing/2010/main" w="1">
              <a:solidFill>
                <a:srgbClr xmlns:mc="http://schemas.openxmlformats.org/markup-compatibility/2006" xmlns:a14="http://schemas.microsoft.com/office/drawing/2010/main"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104130" y="0"/>
          <a:ext cx="1476375" cy="34099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878070" y="0"/>
          <a:ext cx="1504950" cy="33845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153535" y="0"/>
          <a:ext cx="1609725" cy="361950"/>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vertex42.com/ExcelTemplates/excel-gantt-chart.html" TargetMode="External"/><Relationship Id="rId4" Type="http://schemas.openxmlformats.org/officeDocument/2006/relationships/ctrlProp" Target="../ctrlProps/ctrlProp1.xm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 Type="http://schemas.openxmlformats.org/officeDocument/2006/relationships/hyperlink" Target="https://excel.uservoice.com/forums/304921-excel-for-windows-desktop-application/suggestions/19676413-make-paste-and-merge-conditional-formatting-the" TargetMode="External"/><Relationship Id="rId5" Type="http://schemas.openxmlformats.org/officeDocument/2006/relationships/hyperlink" Target="https://www.vertex42.com/ExcelTemplates/excel-gantt-chart.html" TargetMode="External"/><Relationship Id="rId4" Type="http://schemas.openxmlformats.org/officeDocument/2006/relationships/hyperlink" Target="https://www.vertex42.com/Links/go.php?urlid=GanttChartPro" TargetMode="External"/><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vertex42.com/licensing/EULA_privateuse.html" TargetMode="External"/><Relationship Id="rId2" Type="http://schemas.openxmlformats.org/officeDocument/2006/relationships/hyperlink" Target="https://www.vertex42.com/ExcelTemplates/excel-gantt-chart.html" TargetMode="Externa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BN68"/>
  <sheetViews>
    <sheetView showGridLines="0" tabSelected="1" zoomScale="85" zoomScaleNormal="85" workbookViewId="0">
      <pane ySplit="7" topLeftCell="A50" activePane="bottomLeft" state="frozen"/>
      <selection/>
      <selection pane="bottomLeft" activeCell="I5" sqref="I5"/>
    </sheetView>
  </sheetViews>
  <sheetFormatPr defaultColWidth="9.13888888888889" defaultRowHeight="13.2"/>
  <cols>
    <col min="1" max="1" width="6.85185185185185" style="66" customWidth="1"/>
    <col min="2" max="2" width="20.8888888888889" style="67" customWidth="1"/>
    <col min="3" max="3" width="15" style="67" customWidth="1"/>
    <col min="4" max="4" width="6.85185185185185" style="68" hidden="1" customWidth="1"/>
    <col min="5" max="6" width="12" style="67" customWidth="1"/>
    <col min="7" max="7" width="6" style="67" customWidth="1"/>
    <col min="8" max="8" width="6.71296296296296" style="67" customWidth="1"/>
    <col min="9" max="9" width="6.42592592592593" style="67" customWidth="1"/>
    <col min="10" max="10" width="1.85185185185185" style="67" customWidth="1"/>
    <col min="11" max="66" width="2.42592592592593" style="67" customWidth="1"/>
    <col min="67" max="16384" width="9.13888888888889" style="69"/>
  </cols>
  <sheetData>
    <row r="1" ht="30" customHeight="1" spans="1:31">
      <c r="A1" s="70" t="s">
        <v>0</v>
      </c>
      <c r="B1" s="71"/>
      <c r="C1" s="71"/>
      <c r="D1" s="71"/>
      <c r="E1" s="71"/>
      <c r="F1" s="71"/>
      <c r="I1" s="138"/>
      <c r="K1" s="139" t="s">
        <v>1</v>
      </c>
      <c r="L1" s="139"/>
      <c r="M1" s="139"/>
      <c r="N1" s="139"/>
      <c r="O1" s="139"/>
      <c r="P1" s="139"/>
      <c r="Q1" s="139"/>
      <c r="R1" s="139"/>
      <c r="S1" s="139"/>
      <c r="T1" s="139"/>
      <c r="U1" s="139"/>
      <c r="V1" s="139"/>
      <c r="W1" s="139"/>
      <c r="X1" s="139"/>
      <c r="Y1" s="139"/>
      <c r="Z1" s="139"/>
      <c r="AA1" s="139"/>
      <c r="AB1" s="139"/>
      <c r="AC1" s="139"/>
      <c r="AD1" s="139"/>
      <c r="AE1" s="139"/>
    </row>
    <row r="2" ht="18" customHeight="1" spans="1:8">
      <c r="A2" s="72" t="s">
        <v>2</v>
      </c>
      <c r="B2" s="73"/>
      <c r="C2" s="73"/>
      <c r="D2" s="74"/>
      <c r="E2" s="75"/>
      <c r="F2" s="75"/>
      <c r="H2" s="76"/>
    </row>
    <row r="3" ht="14.4" spans="1:27">
      <c r="A3" s="72"/>
      <c r="B3" s="77"/>
      <c r="C3" s="78"/>
      <c r="D3" s="78"/>
      <c r="E3" s="78"/>
      <c r="F3" s="78"/>
      <c r="G3" s="78"/>
      <c r="H3" s="76"/>
      <c r="K3" s="140"/>
      <c r="L3" s="140"/>
      <c r="M3" s="140"/>
      <c r="N3" s="140"/>
      <c r="O3" s="140"/>
      <c r="P3" s="140"/>
      <c r="Q3" s="140"/>
      <c r="R3" s="140"/>
      <c r="S3" s="140"/>
      <c r="T3" s="140"/>
      <c r="U3" s="140"/>
      <c r="V3" s="140"/>
      <c r="W3" s="140"/>
      <c r="X3" s="140"/>
      <c r="Y3" s="140"/>
      <c r="Z3" s="140"/>
      <c r="AA3" s="140"/>
    </row>
    <row r="4" ht="17.25" customHeight="1" spans="1:66">
      <c r="A4" s="79"/>
      <c r="B4" s="80" t="s">
        <v>3</v>
      </c>
      <c r="C4" s="81"/>
      <c r="D4" s="81"/>
      <c r="E4" s="81"/>
      <c r="F4" s="82"/>
      <c r="G4" s="80" t="s">
        <v>4</v>
      </c>
      <c r="H4" s="83"/>
      <c r="I4" s="141"/>
      <c r="J4" s="85"/>
      <c r="K4" s="142" t="str">
        <f>"Week "&amp;(K6-($C$4-WEEKDAY($C$4,1)+2))/7+1</f>
        <v>Week 0</v>
      </c>
      <c r="L4" s="143"/>
      <c r="M4" s="143"/>
      <c r="N4" s="143"/>
      <c r="O4" s="143"/>
      <c r="P4" s="143"/>
      <c r="Q4" s="169"/>
      <c r="R4" s="142" t="str">
        <f>"Week "&amp;(R6-($C$4-WEEKDAY($C$4,1)+2))/7+1</f>
        <v>Week 1</v>
      </c>
      <c r="S4" s="143"/>
      <c r="T4" s="143"/>
      <c r="U4" s="143"/>
      <c r="V4" s="143"/>
      <c r="W4" s="143"/>
      <c r="X4" s="169"/>
      <c r="Y4" s="142" t="str">
        <f>"Week "&amp;(Y6-($C$4-WEEKDAY($C$4,1)+2))/7+1</f>
        <v>Week 2</v>
      </c>
      <c r="Z4" s="143"/>
      <c r="AA4" s="143"/>
      <c r="AB4" s="143"/>
      <c r="AC4" s="143"/>
      <c r="AD4" s="143"/>
      <c r="AE4" s="169"/>
      <c r="AF4" s="142" t="str">
        <f>"Week "&amp;(AF6-($C$4-WEEKDAY($C$4,1)+2))/7+1</f>
        <v>Week 3</v>
      </c>
      <c r="AG4" s="143"/>
      <c r="AH4" s="143"/>
      <c r="AI4" s="143"/>
      <c r="AJ4" s="143"/>
      <c r="AK4" s="143"/>
      <c r="AL4" s="169"/>
      <c r="AM4" s="142" t="str">
        <f>"Week "&amp;(AM6-($C$4-WEEKDAY($C$4,1)+2))/7+1</f>
        <v>Week 4</v>
      </c>
      <c r="AN4" s="143"/>
      <c r="AO4" s="143"/>
      <c r="AP4" s="143"/>
      <c r="AQ4" s="143"/>
      <c r="AR4" s="143"/>
      <c r="AS4" s="169"/>
      <c r="AT4" s="142" t="str">
        <f>"Week "&amp;(AT6-($C$4-WEEKDAY($C$4,1)+2))/7+1</f>
        <v>Week 5</v>
      </c>
      <c r="AU4" s="143"/>
      <c r="AV4" s="143"/>
      <c r="AW4" s="143"/>
      <c r="AX4" s="143"/>
      <c r="AY4" s="143"/>
      <c r="AZ4" s="169"/>
      <c r="BA4" s="142" t="str">
        <f>"Week "&amp;(BA6-($C$4-WEEKDAY($C$4,1)+2))/7+1</f>
        <v>Week 6</v>
      </c>
      <c r="BB4" s="143"/>
      <c r="BC4" s="143"/>
      <c r="BD4" s="143"/>
      <c r="BE4" s="143"/>
      <c r="BF4" s="143"/>
      <c r="BG4" s="169"/>
      <c r="BH4" s="142" t="str">
        <f>"Week "&amp;(BH6-($C$4-WEEKDAY($C$4,1)+2))/7+1</f>
        <v>Week 7</v>
      </c>
      <c r="BI4" s="143"/>
      <c r="BJ4" s="143"/>
      <c r="BK4" s="143"/>
      <c r="BL4" s="143"/>
      <c r="BM4" s="143"/>
      <c r="BN4" s="169"/>
    </row>
    <row r="5" ht="17.25" customHeight="1" spans="1:66">
      <c r="A5" s="79"/>
      <c r="B5" s="80" t="s">
        <v>5</v>
      </c>
      <c r="C5" s="84" t="s">
        <v>6</v>
      </c>
      <c r="D5" s="84"/>
      <c r="E5" s="84"/>
      <c r="F5" s="85"/>
      <c r="G5" s="85"/>
      <c r="H5" s="85"/>
      <c r="I5" s="85"/>
      <c r="J5" s="85"/>
      <c r="K5" s="144">
        <f>K6</f>
        <v>-12</v>
      </c>
      <c r="L5" s="145"/>
      <c r="M5" s="145"/>
      <c r="N5" s="145"/>
      <c r="O5" s="145"/>
      <c r="P5" s="145"/>
      <c r="Q5" s="170"/>
      <c r="R5" s="144">
        <f>R6</f>
        <v>-5</v>
      </c>
      <c r="S5" s="145"/>
      <c r="T5" s="145"/>
      <c r="U5" s="145"/>
      <c r="V5" s="145"/>
      <c r="W5" s="145"/>
      <c r="X5" s="170"/>
      <c r="Y5" s="144">
        <f>Y6</f>
        <v>2</v>
      </c>
      <c r="Z5" s="145"/>
      <c r="AA5" s="145"/>
      <c r="AB5" s="145"/>
      <c r="AC5" s="145"/>
      <c r="AD5" s="145"/>
      <c r="AE5" s="170"/>
      <c r="AF5" s="144">
        <f>AF6</f>
        <v>9</v>
      </c>
      <c r="AG5" s="145"/>
      <c r="AH5" s="145"/>
      <c r="AI5" s="145"/>
      <c r="AJ5" s="145"/>
      <c r="AK5" s="145"/>
      <c r="AL5" s="170"/>
      <c r="AM5" s="144">
        <f>AM6</f>
        <v>16</v>
      </c>
      <c r="AN5" s="145"/>
      <c r="AO5" s="145"/>
      <c r="AP5" s="145"/>
      <c r="AQ5" s="145"/>
      <c r="AR5" s="145"/>
      <c r="AS5" s="170"/>
      <c r="AT5" s="144">
        <f>AT6</f>
        <v>23</v>
      </c>
      <c r="AU5" s="145"/>
      <c r="AV5" s="145"/>
      <c r="AW5" s="145"/>
      <c r="AX5" s="145"/>
      <c r="AY5" s="145"/>
      <c r="AZ5" s="170"/>
      <c r="BA5" s="144">
        <f>BA6</f>
        <v>30</v>
      </c>
      <c r="BB5" s="145"/>
      <c r="BC5" s="145"/>
      <c r="BD5" s="145"/>
      <c r="BE5" s="145"/>
      <c r="BF5" s="145"/>
      <c r="BG5" s="170"/>
      <c r="BH5" s="144">
        <f>BH6</f>
        <v>37</v>
      </c>
      <c r="BI5" s="145"/>
      <c r="BJ5" s="145"/>
      <c r="BK5" s="145"/>
      <c r="BL5" s="145"/>
      <c r="BM5" s="145"/>
      <c r="BN5" s="170"/>
    </row>
    <row r="6" spans="1:66">
      <c r="A6" s="79"/>
      <c r="B6" s="85"/>
      <c r="C6" s="85"/>
      <c r="D6" s="86"/>
      <c r="E6" s="85"/>
      <c r="F6" s="85"/>
      <c r="G6" s="85"/>
      <c r="H6" s="85"/>
      <c r="I6" s="85"/>
      <c r="J6" s="85"/>
      <c r="K6" s="146">
        <f>C4-WEEKDAY(C4,1)+2+7*(H4-1)</f>
        <v>-12</v>
      </c>
      <c r="L6" s="147">
        <f t="shared" ref="L6:AQ6" si="0">K6+1</f>
        <v>-11</v>
      </c>
      <c r="M6" s="147">
        <f t="shared" si="0"/>
        <v>-10</v>
      </c>
      <c r="N6" s="147">
        <f t="shared" si="0"/>
        <v>-9</v>
      </c>
      <c r="O6" s="147">
        <f t="shared" si="0"/>
        <v>-8</v>
      </c>
      <c r="P6" s="147">
        <f t="shared" si="0"/>
        <v>-7</v>
      </c>
      <c r="Q6" s="171">
        <f t="shared" si="0"/>
        <v>-6</v>
      </c>
      <c r="R6" s="146">
        <f t="shared" si="0"/>
        <v>-5</v>
      </c>
      <c r="S6" s="147">
        <f t="shared" si="0"/>
        <v>-4</v>
      </c>
      <c r="T6" s="147">
        <f t="shared" si="0"/>
        <v>-3</v>
      </c>
      <c r="U6" s="147">
        <f t="shared" si="0"/>
        <v>-2</v>
      </c>
      <c r="V6" s="147">
        <f t="shared" si="0"/>
        <v>-1</v>
      </c>
      <c r="W6" s="147">
        <f t="shared" si="0"/>
        <v>0</v>
      </c>
      <c r="X6" s="171">
        <f t="shared" si="0"/>
        <v>1</v>
      </c>
      <c r="Y6" s="146">
        <f t="shared" si="0"/>
        <v>2</v>
      </c>
      <c r="Z6" s="147">
        <f t="shared" si="0"/>
        <v>3</v>
      </c>
      <c r="AA6" s="147">
        <f t="shared" si="0"/>
        <v>4</v>
      </c>
      <c r="AB6" s="147">
        <f t="shared" si="0"/>
        <v>5</v>
      </c>
      <c r="AC6" s="147">
        <f t="shared" si="0"/>
        <v>6</v>
      </c>
      <c r="AD6" s="147">
        <f t="shared" si="0"/>
        <v>7</v>
      </c>
      <c r="AE6" s="171">
        <f t="shared" si="0"/>
        <v>8</v>
      </c>
      <c r="AF6" s="146">
        <f t="shared" si="0"/>
        <v>9</v>
      </c>
      <c r="AG6" s="147">
        <f t="shared" si="0"/>
        <v>10</v>
      </c>
      <c r="AH6" s="147">
        <f t="shared" si="0"/>
        <v>11</v>
      </c>
      <c r="AI6" s="147">
        <f t="shared" si="0"/>
        <v>12</v>
      </c>
      <c r="AJ6" s="147">
        <f t="shared" si="0"/>
        <v>13</v>
      </c>
      <c r="AK6" s="147">
        <f t="shared" si="0"/>
        <v>14</v>
      </c>
      <c r="AL6" s="171">
        <f t="shared" si="0"/>
        <v>15</v>
      </c>
      <c r="AM6" s="146">
        <f t="shared" si="0"/>
        <v>16</v>
      </c>
      <c r="AN6" s="147">
        <f t="shared" si="0"/>
        <v>17</v>
      </c>
      <c r="AO6" s="147">
        <f t="shared" si="0"/>
        <v>18</v>
      </c>
      <c r="AP6" s="147">
        <f t="shared" si="0"/>
        <v>19</v>
      </c>
      <c r="AQ6" s="147">
        <f t="shared" si="0"/>
        <v>20</v>
      </c>
      <c r="AR6" s="147">
        <f t="shared" ref="AR6:BN6" si="1">AQ6+1</f>
        <v>21</v>
      </c>
      <c r="AS6" s="171">
        <f t="shared" si="1"/>
        <v>22</v>
      </c>
      <c r="AT6" s="146">
        <f t="shared" si="1"/>
        <v>23</v>
      </c>
      <c r="AU6" s="147">
        <f t="shared" si="1"/>
        <v>24</v>
      </c>
      <c r="AV6" s="147">
        <f t="shared" si="1"/>
        <v>25</v>
      </c>
      <c r="AW6" s="147">
        <f t="shared" si="1"/>
        <v>26</v>
      </c>
      <c r="AX6" s="147">
        <f t="shared" si="1"/>
        <v>27</v>
      </c>
      <c r="AY6" s="147">
        <f t="shared" si="1"/>
        <v>28</v>
      </c>
      <c r="AZ6" s="171">
        <f t="shared" si="1"/>
        <v>29</v>
      </c>
      <c r="BA6" s="146">
        <f t="shared" si="1"/>
        <v>30</v>
      </c>
      <c r="BB6" s="147">
        <f t="shared" si="1"/>
        <v>31</v>
      </c>
      <c r="BC6" s="147">
        <f t="shared" si="1"/>
        <v>32</v>
      </c>
      <c r="BD6" s="147">
        <f t="shared" si="1"/>
        <v>33</v>
      </c>
      <c r="BE6" s="147">
        <f t="shared" si="1"/>
        <v>34</v>
      </c>
      <c r="BF6" s="147">
        <f t="shared" si="1"/>
        <v>35</v>
      </c>
      <c r="BG6" s="171">
        <f t="shared" si="1"/>
        <v>36</v>
      </c>
      <c r="BH6" s="146">
        <f t="shared" si="1"/>
        <v>37</v>
      </c>
      <c r="BI6" s="147">
        <f t="shared" si="1"/>
        <v>38</v>
      </c>
      <c r="BJ6" s="147">
        <f t="shared" si="1"/>
        <v>39</v>
      </c>
      <c r="BK6" s="147">
        <f t="shared" si="1"/>
        <v>40</v>
      </c>
      <c r="BL6" s="147">
        <f t="shared" si="1"/>
        <v>41</v>
      </c>
      <c r="BM6" s="147">
        <f t="shared" si="1"/>
        <v>42</v>
      </c>
      <c r="BN6" s="171">
        <f t="shared" si="1"/>
        <v>43</v>
      </c>
    </row>
    <row r="7" s="60" customFormat="1" ht="22.35" spans="1:66">
      <c r="A7" s="87" t="s">
        <v>7</v>
      </c>
      <c r="B7" s="88" t="s">
        <v>8</v>
      </c>
      <c r="C7" s="89" t="s">
        <v>9</v>
      </c>
      <c r="D7" s="90" t="s">
        <v>10</v>
      </c>
      <c r="E7" s="91" t="s">
        <v>11</v>
      </c>
      <c r="F7" s="91" t="s">
        <v>12</v>
      </c>
      <c r="G7" s="89" t="s">
        <v>13</v>
      </c>
      <c r="H7" s="89" t="s">
        <v>14</v>
      </c>
      <c r="I7" s="89" t="s">
        <v>15</v>
      </c>
      <c r="J7" s="89"/>
      <c r="K7" s="148" t="e">
        <f t="shared" ref="K7:AP7" si="2">CHOOSE(WEEKDAY(K6,1),"S","M","T","W","T","F","S")</f>
        <v>#NUM!</v>
      </c>
      <c r="L7" s="149" t="e">
        <f t="shared" si="2"/>
        <v>#NUM!</v>
      </c>
      <c r="M7" s="149" t="e">
        <f t="shared" si="2"/>
        <v>#NUM!</v>
      </c>
      <c r="N7" s="149" t="e">
        <f t="shared" si="2"/>
        <v>#NUM!</v>
      </c>
      <c r="O7" s="149" t="e">
        <f t="shared" si="2"/>
        <v>#NUM!</v>
      </c>
      <c r="P7" s="149" t="e">
        <f t="shared" si="2"/>
        <v>#NUM!</v>
      </c>
      <c r="Q7" s="172" t="e">
        <f t="shared" si="2"/>
        <v>#NUM!</v>
      </c>
      <c r="R7" s="148" t="e">
        <f t="shared" si="2"/>
        <v>#NUM!</v>
      </c>
      <c r="S7" s="149" t="e">
        <f t="shared" si="2"/>
        <v>#NUM!</v>
      </c>
      <c r="T7" s="149" t="e">
        <f t="shared" si="2"/>
        <v>#NUM!</v>
      </c>
      <c r="U7" s="149" t="e">
        <f t="shared" si="2"/>
        <v>#NUM!</v>
      </c>
      <c r="V7" s="149" t="e">
        <f t="shared" si="2"/>
        <v>#NUM!</v>
      </c>
      <c r="W7" s="149" t="str">
        <f t="shared" si="2"/>
        <v>S</v>
      </c>
      <c r="X7" s="172" t="str">
        <f t="shared" si="2"/>
        <v>S</v>
      </c>
      <c r="Y7" s="148" t="str">
        <f t="shared" si="2"/>
        <v>M</v>
      </c>
      <c r="Z7" s="149" t="str">
        <f t="shared" si="2"/>
        <v>T</v>
      </c>
      <c r="AA7" s="149" t="str">
        <f t="shared" si="2"/>
        <v>W</v>
      </c>
      <c r="AB7" s="149" t="str">
        <f t="shared" si="2"/>
        <v>T</v>
      </c>
      <c r="AC7" s="149" t="str">
        <f t="shared" si="2"/>
        <v>F</v>
      </c>
      <c r="AD7" s="149" t="str">
        <f t="shared" si="2"/>
        <v>S</v>
      </c>
      <c r="AE7" s="172" t="str">
        <f t="shared" si="2"/>
        <v>S</v>
      </c>
      <c r="AF7" s="148" t="str">
        <f t="shared" si="2"/>
        <v>M</v>
      </c>
      <c r="AG7" s="149" t="str">
        <f t="shared" si="2"/>
        <v>T</v>
      </c>
      <c r="AH7" s="149" t="str">
        <f t="shared" si="2"/>
        <v>W</v>
      </c>
      <c r="AI7" s="149" t="str">
        <f t="shared" si="2"/>
        <v>T</v>
      </c>
      <c r="AJ7" s="149" t="str">
        <f t="shared" si="2"/>
        <v>F</v>
      </c>
      <c r="AK7" s="149" t="str">
        <f t="shared" si="2"/>
        <v>S</v>
      </c>
      <c r="AL7" s="172" t="str">
        <f t="shared" si="2"/>
        <v>S</v>
      </c>
      <c r="AM7" s="148" t="str">
        <f t="shared" si="2"/>
        <v>M</v>
      </c>
      <c r="AN7" s="149" t="str">
        <f t="shared" si="2"/>
        <v>T</v>
      </c>
      <c r="AO7" s="149" t="str">
        <f t="shared" si="2"/>
        <v>W</v>
      </c>
      <c r="AP7" s="149" t="str">
        <f t="shared" si="2"/>
        <v>T</v>
      </c>
      <c r="AQ7" s="149" t="str">
        <f t="shared" ref="AQ7:BN7" si="3">CHOOSE(WEEKDAY(AQ6,1),"S","M","T","W","T","F","S")</f>
        <v>F</v>
      </c>
      <c r="AR7" s="149" t="str">
        <f t="shared" si="3"/>
        <v>S</v>
      </c>
      <c r="AS7" s="172" t="str">
        <f t="shared" si="3"/>
        <v>S</v>
      </c>
      <c r="AT7" s="148" t="str">
        <f t="shared" si="3"/>
        <v>M</v>
      </c>
      <c r="AU7" s="149" t="str">
        <f t="shared" si="3"/>
        <v>T</v>
      </c>
      <c r="AV7" s="149" t="str">
        <f t="shared" si="3"/>
        <v>W</v>
      </c>
      <c r="AW7" s="149" t="str">
        <f t="shared" si="3"/>
        <v>T</v>
      </c>
      <c r="AX7" s="149" t="str">
        <f t="shared" si="3"/>
        <v>F</v>
      </c>
      <c r="AY7" s="149" t="str">
        <f t="shared" si="3"/>
        <v>S</v>
      </c>
      <c r="AZ7" s="172" t="str">
        <f t="shared" si="3"/>
        <v>S</v>
      </c>
      <c r="BA7" s="148" t="str">
        <f t="shared" si="3"/>
        <v>M</v>
      </c>
      <c r="BB7" s="149" t="str">
        <f t="shared" si="3"/>
        <v>T</v>
      </c>
      <c r="BC7" s="149" t="str">
        <f t="shared" si="3"/>
        <v>W</v>
      </c>
      <c r="BD7" s="149" t="str">
        <f t="shared" si="3"/>
        <v>T</v>
      </c>
      <c r="BE7" s="149" t="str">
        <f t="shared" si="3"/>
        <v>F</v>
      </c>
      <c r="BF7" s="149" t="str">
        <f t="shared" si="3"/>
        <v>S</v>
      </c>
      <c r="BG7" s="172" t="str">
        <f t="shared" si="3"/>
        <v>S</v>
      </c>
      <c r="BH7" s="148" t="str">
        <f t="shared" si="3"/>
        <v>M</v>
      </c>
      <c r="BI7" s="149" t="str">
        <f t="shared" si="3"/>
        <v>T</v>
      </c>
      <c r="BJ7" s="149" t="str">
        <f t="shared" si="3"/>
        <v>W</v>
      </c>
      <c r="BK7" s="149" t="str">
        <f t="shared" si="3"/>
        <v>T</v>
      </c>
      <c r="BL7" s="149" t="str">
        <f t="shared" si="3"/>
        <v>F</v>
      </c>
      <c r="BM7" s="149" t="str">
        <f t="shared" si="3"/>
        <v>S</v>
      </c>
      <c r="BN7" s="172" t="str">
        <f t="shared" si="3"/>
        <v>S</v>
      </c>
    </row>
    <row r="8" s="61" customFormat="1" ht="17.4" spans="1:66">
      <c r="A8" s="92" t="str">
        <f>IF(ISERROR(VALUE(SUBSTITUTE(prevWBS,".",""))),"1",IF(ISERROR(FIND("`",SUBSTITUTE(prevWBS,".","`",1))),TEXT(VALUE(prevWBS)+1,"#"),TEXT(VALUE(LEFT(prevWBS,FIND("`",SUBSTITUTE(prevWBS,".","`",1))-1))+1,"#")))</f>
        <v>1</v>
      </c>
      <c r="B8" s="93" t="s">
        <v>16</v>
      </c>
      <c r="C8" s="94"/>
      <c r="D8" s="95"/>
      <c r="E8" s="96"/>
      <c r="F8" s="97" t="str">
        <f t="shared" ref="F8:F17" si="4">IF(ISBLANK(E8)," - ",IF(G8=0,E8,E8+G8-1))</f>
        <v> - </v>
      </c>
      <c r="G8" s="98"/>
      <c r="H8" s="99"/>
      <c r="I8" s="150" t="str">
        <f t="shared" ref="I8:I17" si="5">IF(OR(F8=0,E8=0)," - ",NETWORKDAYS(E8,F8))</f>
        <v> - </v>
      </c>
      <c r="J8" s="151"/>
      <c r="K8" s="152"/>
      <c r="L8" s="152"/>
      <c r="M8" s="152"/>
      <c r="N8" s="152"/>
      <c r="O8" s="152"/>
      <c r="P8" s="152"/>
      <c r="Q8" s="152"/>
      <c r="R8" s="152"/>
      <c r="S8" s="152"/>
      <c r="T8" s="152"/>
      <c r="U8" s="152"/>
      <c r="V8" s="152"/>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52"/>
      <c r="AU8" s="152"/>
      <c r="AV8" s="152"/>
      <c r="AW8" s="152"/>
      <c r="AX8" s="152"/>
      <c r="AY8" s="152"/>
      <c r="AZ8" s="152"/>
      <c r="BA8" s="152"/>
      <c r="BB8" s="152"/>
      <c r="BC8" s="152"/>
      <c r="BD8" s="152"/>
      <c r="BE8" s="152"/>
      <c r="BF8" s="152"/>
      <c r="BG8" s="152"/>
      <c r="BH8" s="152"/>
      <c r="BI8" s="152"/>
      <c r="BJ8" s="152"/>
      <c r="BK8" s="152"/>
      <c r="BL8" s="152"/>
      <c r="BM8" s="152"/>
      <c r="BN8" s="152"/>
    </row>
    <row r="9" s="62" customFormat="1" ht="17.4" spans="1:66">
      <c r="A9" s="10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101" t="s">
        <v>17</v>
      </c>
      <c r="C9" s="62" t="s">
        <v>6</v>
      </c>
      <c r="D9" s="102"/>
      <c r="E9" s="103">
        <v>44459</v>
      </c>
      <c r="F9" s="104">
        <f t="shared" si="4"/>
        <v>44461</v>
      </c>
      <c r="G9" s="105">
        <v>3</v>
      </c>
      <c r="H9" s="106">
        <v>1</v>
      </c>
      <c r="I9" s="153">
        <f t="shared" si="5"/>
        <v>3</v>
      </c>
      <c r="J9" s="154"/>
      <c r="K9" s="155"/>
      <c r="L9" s="155"/>
      <c r="M9" s="155"/>
      <c r="N9" s="155"/>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5"/>
      <c r="AN9" s="155"/>
      <c r="AO9" s="155"/>
      <c r="AP9" s="155"/>
      <c r="AQ9" s="155"/>
      <c r="AR9" s="155"/>
      <c r="AS9" s="155"/>
      <c r="AT9" s="155"/>
      <c r="AU9" s="155"/>
      <c r="AV9" s="155"/>
      <c r="AW9" s="155"/>
      <c r="AX9" s="155"/>
      <c r="AY9" s="155"/>
      <c r="AZ9" s="155"/>
      <c r="BA9" s="155"/>
      <c r="BB9" s="155"/>
      <c r="BC9" s="155"/>
      <c r="BD9" s="155"/>
      <c r="BE9" s="155"/>
      <c r="BF9" s="155"/>
      <c r="BG9" s="155"/>
      <c r="BH9" s="155"/>
      <c r="BI9" s="155"/>
      <c r="BJ9" s="155"/>
      <c r="BK9" s="155"/>
      <c r="BL9" s="155"/>
      <c r="BM9" s="155"/>
      <c r="BN9" s="155"/>
    </row>
    <row r="10" s="62" customFormat="1" ht="34" customHeight="1" spans="1:66">
      <c r="A10" s="100">
        <v>1.11</v>
      </c>
      <c r="B10" s="101" t="s">
        <v>18</v>
      </c>
      <c r="C10" s="62" t="s">
        <v>6</v>
      </c>
      <c r="D10" s="102"/>
      <c r="E10" s="103">
        <v>44459</v>
      </c>
      <c r="F10" s="104">
        <f t="shared" si="4"/>
        <v>44461</v>
      </c>
      <c r="G10" s="105">
        <v>3</v>
      </c>
      <c r="H10" s="106">
        <v>0.6</v>
      </c>
      <c r="I10" s="153">
        <f t="shared" si="5"/>
        <v>3</v>
      </c>
      <c r="J10" s="154"/>
      <c r="K10" s="155"/>
      <c r="L10" s="155"/>
      <c r="M10" s="155"/>
      <c r="N10" s="155"/>
      <c r="O10" s="155"/>
      <c r="P10" s="155"/>
      <c r="Q10" s="155"/>
      <c r="R10" s="155"/>
      <c r="S10" s="155"/>
      <c r="T10" s="155"/>
      <c r="U10" s="155"/>
      <c r="V10" s="155"/>
      <c r="W10" s="155"/>
      <c r="X10" s="155"/>
      <c r="Y10" s="155"/>
      <c r="Z10" s="155"/>
      <c r="AA10" s="155"/>
      <c r="AB10" s="155"/>
      <c r="AC10" s="155"/>
      <c r="AD10" s="155"/>
      <c r="AE10" s="155"/>
      <c r="AF10" s="155"/>
      <c r="AG10" s="155"/>
      <c r="AH10" s="155"/>
      <c r="AI10" s="155"/>
      <c r="AJ10" s="155"/>
      <c r="AK10" s="155"/>
      <c r="AL10" s="155"/>
      <c r="AM10" s="155"/>
      <c r="AN10" s="155"/>
      <c r="AO10" s="155"/>
      <c r="AP10" s="155"/>
      <c r="AQ10" s="155"/>
      <c r="AR10" s="155"/>
      <c r="AS10" s="155"/>
      <c r="AT10" s="155"/>
      <c r="AU10" s="155"/>
      <c r="AV10" s="155"/>
      <c r="AW10" s="155"/>
      <c r="AX10" s="155"/>
      <c r="AY10" s="155"/>
      <c r="AZ10" s="155"/>
      <c r="BA10" s="155"/>
      <c r="BB10" s="155"/>
      <c r="BC10" s="155"/>
      <c r="BD10" s="155"/>
      <c r="BE10" s="155"/>
      <c r="BF10" s="155"/>
      <c r="BG10" s="155"/>
      <c r="BH10" s="155"/>
      <c r="BI10" s="155"/>
      <c r="BJ10" s="155"/>
      <c r="BK10" s="155"/>
      <c r="BL10" s="155"/>
      <c r="BM10" s="155"/>
      <c r="BN10" s="155"/>
    </row>
    <row r="11" s="62" customFormat="1" ht="17.4" spans="1:66">
      <c r="A11" s="100">
        <f>1.2</f>
        <v>1.2</v>
      </c>
      <c r="B11" s="101" t="s">
        <v>19</v>
      </c>
      <c r="C11" s="62" t="s">
        <v>6</v>
      </c>
      <c r="D11" s="102"/>
      <c r="E11" s="103">
        <v>44462</v>
      </c>
      <c r="F11" s="104">
        <f t="shared" si="4"/>
        <v>44463</v>
      </c>
      <c r="G11" s="105">
        <v>2</v>
      </c>
      <c r="H11" s="106">
        <v>0</v>
      </c>
      <c r="I11" s="153">
        <f t="shared" si="5"/>
        <v>2</v>
      </c>
      <c r="J11" s="154"/>
      <c r="K11" s="155"/>
      <c r="L11" s="155"/>
      <c r="M11" s="156"/>
      <c r="N11" s="155"/>
      <c r="O11" s="155"/>
      <c r="P11" s="155"/>
      <c r="Q11" s="155"/>
      <c r="R11" s="155"/>
      <c r="S11" s="155"/>
      <c r="T11" s="155"/>
      <c r="U11" s="155"/>
      <c r="V11" s="155"/>
      <c r="W11" s="155"/>
      <c r="X11" s="155"/>
      <c r="Y11" s="155"/>
      <c r="Z11" s="155"/>
      <c r="AA11" s="155"/>
      <c r="AB11" s="155"/>
      <c r="AC11" s="155"/>
      <c r="AD11" s="155"/>
      <c r="AE11" s="155"/>
      <c r="AF11" s="155"/>
      <c r="AG11" s="155"/>
      <c r="AH11" s="155"/>
      <c r="AI11" s="155"/>
      <c r="AJ11" s="155"/>
      <c r="AK11" s="155"/>
      <c r="AL11" s="155"/>
      <c r="AM11" s="155"/>
      <c r="AN11" s="155"/>
      <c r="AO11" s="155"/>
      <c r="AP11" s="155"/>
      <c r="AQ11" s="155"/>
      <c r="AR11" s="155"/>
      <c r="AS11" s="155"/>
      <c r="AT11" s="155"/>
      <c r="AU11" s="155"/>
      <c r="AV11" s="155"/>
      <c r="AW11" s="155"/>
      <c r="AX11" s="155"/>
      <c r="AY11" s="155"/>
      <c r="AZ11" s="155"/>
      <c r="BA11" s="155"/>
      <c r="BB11" s="155"/>
      <c r="BC11" s="155"/>
      <c r="BD11" s="155"/>
      <c r="BE11" s="155"/>
      <c r="BF11" s="155"/>
      <c r="BG11" s="155"/>
      <c r="BH11" s="155"/>
      <c r="BI11" s="155"/>
      <c r="BJ11" s="155"/>
      <c r="BK11" s="155"/>
      <c r="BL11" s="155"/>
      <c r="BM11" s="155"/>
      <c r="BN11" s="155"/>
    </row>
    <row r="12" s="62" customFormat="1" ht="17.4" spans="1:66">
      <c r="A12" s="10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v>
      </c>
      <c r="B12" s="101" t="s">
        <v>20</v>
      </c>
      <c r="C12" s="62" t="s">
        <v>6</v>
      </c>
      <c r="D12" s="102"/>
      <c r="E12" s="103">
        <v>44463</v>
      </c>
      <c r="F12" s="104">
        <f t="shared" si="4"/>
        <v>44463</v>
      </c>
      <c r="G12" s="105">
        <v>1</v>
      </c>
      <c r="H12" s="106">
        <v>0.75</v>
      </c>
      <c r="I12" s="153">
        <f t="shared" si="5"/>
        <v>1</v>
      </c>
      <c r="J12" s="154"/>
      <c r="K12" s="155"/>
      <c r="L12" s="155"/>
      <c r="M12" s="155"/>
      <c r="N12" s="155"/>
      <c r="O12" s="155"/>
      <c r="P12" s="155"/>
      <c r="Q12" s="155"/>
      <c r="R12" s="155"/>
      <c r="S12" s="155"/>
      <c r="T12" s="155"/>
      <c r="U12" s="155"/>
      <c r="V12" s="155"/>
      <c r="W12" s="155"/>
      <c r="X12" s="155"/>
      <c r="Y12" s="155"/>
      <c r="Z12" s="155"/>
      <c r="AA12" s="155"/>
      <c r="AB12" s="155"/>
      <c r="AC12" s="155"/>
      <c r="AD12" s="155"/>
      <c r="AE12" s="155"/>
      <c r="AF12" s="155"/>
      <c r="AG12" s="155"/>
      <c r="AH12" s="155"/>
      <c r="AI12" s="155"/>
      <c r="AJ12" s="155"/>
      <c r="AK12" s="155"/>
      <c r="AL12" s="155"/>
      <c r="AM12" s="155"/>
      <c r="AN12" s="155"/>
      <c r="AO12" s="155"/>
      <c r="AP12" s="155"/>
      <c r="AQ12" s="155"/>
      <c r="AR12" s="155"/>
      <c r="AS12" s="155"/>
      <c r="AT12" s="155"/>
      <c r="AU12" s="155"/>
      <c r="AV12" s="155"/>
      <c r="AW12" s="155"/>
      <c r="AX12" s="155"/>
      <c r="AY12" s="155"/>
      <c r="AZ12" s="155"/>
      <c r="BA12" s="155"/>
      <c r="BB12" s="155"/>
      <c r="BC12" s="155"/>
      <c r="BD12" s="155"/>
      <c r="BE12" s="155"/>
      <c r="BF12" s="155"/>
      <c r="BG12" s="155"/>
      <c r="BH12" s="155"/>
      <c r="BI12" s="155"/>
      <c r="BJ12" s="155"/>
      <c r="BK12" s="155"/>
      <c r="BL12" s="155"/>
      <c r="BM12" s="155"/>
      <c r="BN12" s="155"/>
    </row>
    <row r="13" s="62" customFormat="1" ht="30" customHeight="1" spans="1:66">
      <c r="A13" s="100">
        <v>1.4</v>
      </c>
      <c r="B13" s="107" t="s">
        <v>21</v>
      </c>
      <c r="C13" s="62" t="s">
        <v>6</v>
      </c>
      <c r="D13" s="102"/>
      <c r="E13" s="103">
        <v>44464</v>
      </c>
      <c r="F13" s="104">
        <f t="shared" si="4"/>
        <v>44468</v>
      </c>
      <c r="G13" s="105">
        <v>5</v>
      </c>
      <c r="H13" s="106">
        <v>0.5</v>
      </c>
      <c r="I13" s="153">
        <f t="shared" si="5"/>
        <v>3</v>
      </c>
      <c r="J13" s="154"/>
      <c r="K13" s="155"/>
      <c r="L13" s="155"/>
      <c r="M13" s="155"/>
      <c r="N13" s="155"/>
      <c r="O13" s="155"/>
      <c r="P13" s="155"/>
      <c r="Q13" s="155"/>
      <c r="R13" s="155"/>
      <c r="S13" s="155"/>
      <c r="T13" s="155"/>
      <c r="U13" s="155"/>
      <c r="V13" s="155"/>
      <c r="W13" s="155"/>
      <c r="X13" s="155"/>
      <c r="Y13" s="155"/>
      <c r="Z13" s="155"/>
      <c r="AA13" s="155"/>
      <c r="AB13" s="155"/>
      <c r="AC13" s="155"/>
      <c r="AD13" s="155"/>
      <c r="AE13" s="155"/>
      <c r="AF13" s="155"/>
      <c r="AG13" s="155"/>
      <c r="AH13" s="155"/>
      <c r="AI13" s="155"/>
      <c r="AJ13" s="155"/>
      <c r="AK13" s="155"/>
      <c r="AL13" s="155"/>
      <c r="AM13" s="155"/>
      <c r="AN13" s="155"/>
      <c r="AO13" s="155"/>
      <c r="AP13" s="155"/>
      <c r="AQ13" s="155"/>
      <c r="AR13" s="155"/>
      <c r="AS13" s="155"/>
      <c r="AT13" s="155"/>
      <c r="AU13" s="155"/>
      <c r="AV13" s="155"/>
      <c r="AW13" s="155"/>
      <c r="AX13" s="155"/>
      <c r="AY13" s="155"/>
      <c r="AZ13" s="155"/>
      <c r="BA13" s="155"/>
      <c r="BB13" s="155"/>
      <c r="BC13" s="155"/>
      <c r="BD13" s="155"/>
      <c r="BE13" s="155"/>
      <c r="BF13" s="155"/>
      <c r="BG13" s="155"/>
      <c r="BH13" s="155"/>
      <c r="BI13" s="155"/>
      <c r="BJ13" s="155"/>
      <c r="BK13" s="155"/>
      <c r="BL13" s="155"/>
      <c r="BM13" s="155"/>
      <c r="BN13" s="155"/>
    </row>
    <row r="14" s="62" customFormat="1" ht="17.4" spans="1:66">
      <c r="A14" s="100"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1.4.1</v>
      </c>
      <c r="B14" s="101" t="s">
        <v>22</v>
      </c>
      <c r="C14" s="62" t="s">
        <v>6</v>
      </c>
      <c r="D14" s="102"/>
      <c r="E14" s="103">
        <v>44464</v>
      </c>
      <c r="F14" s="104">
        <f t="shared" si="4"/>
        <v>44466</v>
      </c>
      <c r="G14" s="105">
        <v>3</v>
      </c>
      <c r="H14" s="106">
        <v>0.5</v>
      </c>
      <c r="I14" s="153">
        <v>0</v>
      </c>
      <c r="J14" s="154"/>
      <c r="K14" s="155"/>
      <c r="L14" s="155"/>
      <c r="M14" s="155"/>
      <c r="N14" s="155"/>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55"/>
      <c r="AU14" s="155"/>
      <c r="AV14" s="155"/>
      <c r="AW14" s="155"/>
      <c r="AX14" s="155"/>
      <c r="AY14" s="155"/>
      <c r="AZ14" s="155"/>
      <c r="BA14" s="155"/>
      <c r="BB14" s="155"/>
      <c r="BC14" s="155"/>
      <c r="BD14" s="155"/>
      <c r="BE14" s="155"/>
      <c r="BF14" s="155"/>
      <c r="BG14" s="155"/>
      <c r="BH14" s="155"/>
      <c r="BI14" s="155"/>
      <c r="BJ14" s="155"/>
      <c r="BK14" s="155"/>
      <c r="BL14" s="155"/>
      <c r="BM14" s="155"/>
      <c r="BN14" s="155"/>
    </row>
    <row r="15" s="62" customFormat="1" ht="17.4" spans="1:66">
      <c r="A15" s="100" t="s">
        <v>23</v>
      </c>
      <c r="B15" s="101" t="s">
        <v>24</v>
      </c>
      <c r="C15" s="62" t="s">
        <v>6</v>
      </c>
      <c r="D15" s="102"/>
      <c r="E15" s="103">
        <v>44464</v>
      </c>
      <c r="F15" s="104">
        <f t="shared" si="4"/>
        <v>44468</v>
      </c>
      <c r="G15" s="105">
        <v>5</v>
      </c>
      <c r="H15" s="106">
        <v>0</v>
      </c>
      <c r="I15" s="153">
        <v>0</v>
      </c>
      <c r="J15" s="154"/>
      <c r="K15" s="155"/>
      <c r="L15" s="155"/>
      <c r="M15" s="155"/>
      <c r="N15" s="155"/>
      <c r="O15" s="155"/>
      <c r="P15" s="155"/>
      <c r="Q15" s="155"/>
      <c r="R15" s="155"/>
      <c r="S15" s="155"/>
      <c r="T15" s="155"/>
      <c r="U15" s="155"/>
      <c r="V15" s="155"/>
      <c r="W15" s="155"/>
      <c r="X15" s="155"/>
      <c r="Y15" s="155"/>
      <c r="Z15" s="155"/>
      <c r="AA15" s="155"/>
      <c r="AB15" s="155"/>
      <c r="AC15" s="155"/>
      <c r="AD15" s="155"/>
      <c r="AE15" s="155"/>
      <c r="AF15" s="155"/>
      <c r="AG15" s="155"/>
      <c r="AH15" s="155"/>
      <c r="AI15" s="155"/>
      <c r="AJ15" s="155"/>
      <c r="AK15" s="155"/>
      <c r="AL15" s="155"/>
      <c r="AM15" s="155"/>
      <c r="AN15" s="155"/>
      <c r="AO15" s="155"/>
      <c r="AP15" s="155"/>
      <c r="AQ15" s="155"/>
      <c r="AR15" s="155"/>
      <c r="AS15" s="155"/>
      <c r="AT15" s="155"/>
      <c r="AU15" s="155"/>
      <c r="AV15" s="155"/>
      <c r="AW15" s="155"/>
      <c r="AX15" s="155"/>
      <c r="AY15" s="155"/>
      <c r="AZ15" s="155"/>
      <c r="BA15" s="155"/>
      <c r="BB15" s="155"/>
      <c r="BC15" s="155"/>
      <c r="BD15" s="155"/>
      <c r="BE15" s="155"/>
      <c r="BF15" s="155"/>
      <c r="BG15" s="155"/>
      <c r="BH15" s="155"/>
      <c r="BI15" s="155"/>
      <c r="BJ15" s="155"/>
      <c r="BK15" s="155"/>
      <c r="BL15" s="155"/>
      <c r="BM15" s="155"/>
      <c r="BN15" s="155"/>
    </row>
    <row r="16" s="62" customFormat="1" ht="17.4" spans="1:66">
      <c r="A16" s="100" t="s">
        <v>25</v>
      </c>
      <c r="B16" s="101" t="s">
        <v>26</v>
      </c>
      <c r="C16" s="62" t="s">
        <v>6</v>
      </c>
      <c r="D16" s="102"/>
      <c r="E16" s="103">
        <v>44465</v>
      </c>
      <c r="F16" s="104">
        <f t="shared" si="4"/>
        <v>44465</v>
      </c>
      <c r="G16" s="105">
        <v>1</v>
      </c>
      <c r="H16" s="106">
        <v>0</v>
      </c>
      <c r="I16" s="153">
        <f t="shared" si="5"/>
        <v>0</v>
      </c>
      <c r="J16" s="154"/>
      <c r="K16" s="155"/>
      <c r="L16" s="155"/>
      <c r="M16" s="155"/>
      <c r="N16" s="155"/>
      <c r="O16" s="155"/>
      <c r="P16" s="155"/>
      <c r="Q16" s="155"/>
      <c r="R16" s="155"/>
      <c r="S16" s="155"/>
      <c r="T16" s="155"/>
      <c r="U16" s="155"/>
      <c r="V16" s="155"/>
      <c r="W16" s="155"/>
      <c r="X16" s="155"/>
      <c r="Y16" s="155"/>
      <c r="Z16" s="155"/>
      <c r="AA16" s="155"/>
      <c r="AB16" s="155"/>
      <c r="AC16" s="155"/>
      <c r="AD16" s="155"/>
      <c r="AE16" s="155"/>
      <c r="AF16" s="155"/>
      <c r="AG16" s="155"/>
      <c r="AH16" s="155"/>
      <c r="AI16" s="155"/>
      <c r="AJ16" s="155"/>
      <c r="AK16" s="155"/>
      <c r="AL16" s="155"/>
      <c r="AM16" s="155"/>
      <c r="AN16" s="155"/>
      <c r="AO16" s="155"/>
      <c r="AP16" s="155"/>
      <c r="AQ16" s="155"/>
      <c r="AR16" s="155"/>
      <c r="AS16" s="155"/>
      <c r="AT16" s="155"/>
      <c r="AU16" s="155"/>
      <c r="AV16" s="155"/>
      <c r="AW16" s="155"/>
      <c r="AX16" s="155"/>
      <c r="AY16" s="155"/>
      <c r="AZ16" s="155"/>
      <c r="BA16" s="155"/>
      <c r="BB16" s="155"/>
      <c r="BC16" s="155"/>
      <c r="BD16" s="155"/>
      <c r="BE16" s="155"/>
      <c r="BF16" s="155"/>
      <c r="BG16" s="155"/>
      <c r="BH16" s="155"/>
      <c r="BI16" s="155"/>
      <c r="BJ16" s="155"/>
      <c r="BK16" s="155"/>
      <c r="BL16" s="155"/>
      <c r="BM16" s="155"/>
      <c r="BN16" s="155"/>
    </row>
    <row r="17" s="62" customFormat="1" ht="21.6" spans="1:66">
      <c r="A17" s="100" t="s">
        <v>27</v>
      </c>
      <c r="B17" s="101" t="s">
        <v>28</v>
      </c>
      <c r="C17" s="62" t="s">
        <v>6</v>
      </c>
      <c r="D17" s="102"/>
      <c r="E17" s="103">
        <v>44466</v>
      </c>
      <c r="F17" s="104">
        <f t="shared" si="4"/>
        <v>44466</v>
      </c>
      <c r="G17" s="105">
        <v>1</v>
      </c>
      <c r="H17" s="106">
        <v>0</v>
      </c>
      <c r="I17" s="153">
        <v>1</v>
      </c>
      <c r="J17" s="154"/>
      <c r="K17" s="155"/>
      <c r="L17" s="155"/>
      <c r="M17" s="155"/>
      <c r="N17" s="155"/>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55"/>
      <c r="AU17" s="155"/>
      <c r="AV17" s="155"/>
      <c r="AW17" s="155"/>
      <c r="AX17" s="155"/>
      <c r="AY17" s="155"/>
      <c r="AZ17" s="155"/>
      <c r="BA17" s="155"/>
      <c r="BB17" s="155"/>
      <c r="BC17" s="155"/>
      <c r="BD17" s="155"/>
      <c r="BE17" s="155"/>
      <c r="BF17" s="155"/>
      <c r="BG17" s="155"/>
      <c r="BH17" s="155"/>
      <c r="BI17" s="155"/>
      <c r="BJ17" s="155"/>
      <c r="BK17" s="155"/>
      <c r="BL17" s="155"/>
      <c r="BM17" s="155"/>
      <c r="BN17" s="155"/>
    </row>
    <row r="18" s="62" customFormat="1" ht="17.4" spans="1:66">
      <c r="A18" s="100" t="s">
        <v>29</v>
      </c>
      <c r="B18" s="101" t="s">
        <v>30</v>
      </c>
      <c r="C18" s="62" t="s">
        <v>6</v>
      </c>
      <c r="D18" s="108"/>
      <c r="E18" s="103">
        <v>44467</v>
      </c>
      <c r="F18" s="104">
        <f t="shared" ref="F18:F25" si="6">IF(ISBLANK(E18)," - ",IF(G18=0,E18,E18+G18-1))</f>
        <v>44467</v>
      </c>
      <c r="G18" s="105">
        <v>1</v>
      </c>
      <c r="H18" s="109">
        <v>0</v>
      </c>
      <c r="I18" s="157">
        <v>1</v>
      </c>
      <c r="J18" s="158"/>
      <c r="K18" s="155"/>
      <c r="L18" s="155"/>
      <c r="M18" s="155"/>
      <c r="N18" s="155"/>
      <c r="O18" s="155"/>
      <c r="P18" s="155"/>
      <c r="Q18" s="155"/>
      <c r="R18" s="155"/>
      <c r="S18" s="155"/>
      <c r="T18" s="155"/>
      <c r="U18" s="155"/>
      <c r="V18" s="155"/>
      <c r="W18" s="155"/>
      <c r="X18" s="155"/>
      <c r="Y18" s="155"/>
      <c r="Z18" s="155"/>
      <c r="AA18" s="155"/>
      <c r="AB18" s="155"/>
      <c r="AC18" s="155"/>
      <c r="AD18" s="155"/>
      <c r="AE18" s="155"/>
      <c r="AF18" s="155"/>
      <c r="AG18" s="155"/>
      <c r="AH18" s="155"/>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row>
    <row r="19" s="62" customFormat="1" ht="17.4" spans="1:66">
      <c r="A19" s="100" t="s">
        <v>31</v>
      </c>
      <c r="B19" s="101" t="s">
        <v>32</v>
      </c>
      <c r="C19" s="62" t="s">
        <v>6</v>
      </c>
      <c r="D19" s="108"/>
      <c r="E19" s="103">
        <v>44468</v>
      </c>
      <c r="F19" s="104">
        <f t="shared" si="6"/>
        <v>44468</v>
      </c>
      <c r="G19" s="105">
        <v>1</v>
      </c>
      <c r="H19" s="109">
        <v>0</v>
      </c>
      <c r="I19" s="157">
        <v>1</v>
      </c>
      <c r="J19" s="158"/>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row>
    <row r="20" s="62" customFormat="1" ht="17.4" spans="1:66">
      <c r="A20" s="100" t="s">
        <v>33</v>
      </c>
      <c r="B20" s="101" t="s">
        <v>34</v>
      </c>
      <c r="C20" s="62" t="s">
        <v>6</v>
      </c>
      <c r="D20" s="108"/>
      <c r="E20" s="103">
        <v>44469</v>
      </c>
      <c r="F20" s="104">
        <f t="shared" si="6"/>
        <v>44469</v>
      </c>
      <c r="G20" s="105">
        <v>1</v>
      </c>
      <c r="H20" s="109">
        <v>0</v>
      </c>
      <c r="I20" s="157">
        <v>1</v>
      </c>
      <c r="J20" s="158"/>
      <c r="K20" s="155"/>
      <c r="L20" s="155"/>
      <c r="M20" s="155"/>
      <c r="N20" s="155"/>
      <c r="O20" s="155"/>
      <c r="P20" s="155"/>
      <c r="Q20" s="155"/>
      <c r="R20" s="155"/>
      <c r="S20" s="155"/>
      <c r="T20" s="155"/>
      <c r="U20" s="155"/>
      <c r="V20" s="155"/>
      <c r="W20" s="155"/>
      <c r="X20" s="155"/>
      <c r="Y20" s="155"/>
      <c r="Z20" s="155"/>
      <c r="AA20" s="155"/>
      <c r="AB20" s="155"/>
      <c r="AC20" s="155"/>
      <c r="AD20" s="155"/>
      <c r="AE20" s="155"/>
      <c r="AF20" s="155"/>
      <c r="AG20" s="155"/>
      <c r="AH20" s="155"/>
      <c r="AI20" s="155"/>
      <c r="AJ20" s="155"/>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row>
    <row r="21" s="62" customFormat="1" ht="38" customHeight="1" spans="1:66">
      <c r="A21" s="100" t="s">
        <v>35</v>
      </c>
      <c r="B21" s="101" t="s">
        <v>36</v>
      </c>
      <c r="C21" s="62" t="s">
        <v>6</v>
      </c>
      <c r="D21" s="108"/>
      <c r="E21" s="103">
        <v>44470</v>
      </c>
      <c r="F21" s="104">
        <f t="shared" si="6"/>
        <v>44470</v>
      </c>
      <c r="G21" s="105">
        <v>1</v>
      </c>
      <c r="H21" s="109">
        <v>0</v>
      </c>
      <c r="I21" s="157">
        <v>2</v>
      </c>
      <c r="J21" s="158"/>
      <c r="K21" s="155"/>
      <c r="L21" s="155"/>
      <c r="M21" s="155"/>
      <c r="N21" s="155"/>
      <c r="O21" s="155"/>
      <c r="P21" s="155"/>
      <c r="Q21" s="155"/>
      <c r="R21" s="155"/>
      <c r="S21" s="155"/>
      <c r="T21" s="155"/>
      <c r="U21" s="155"/>
      <c r="V21" s="155"/>
      <c r="W21" s="155"/>
      <c r="X21" s="155"/>
      <c r="Y21" s="155"/>
      <c r="Z21" s="155"/>
      <c r="AA21" s="155"/>
      <c r="AB21" s="155"/>
      <c r="AC21" s="155"/>
      <c r="AD21" s="155"/>
      <c r="AE21" s="155"/>
      <c r="AF21" s="155"/>
      <c r="AG21" s="155"/>
      <c r="AH21" s="155"/>
      <c r="AI21" s="155"/>
      <c r="AJ21" s="155"/>
      <c r="AK21" s="155"/>
      <c r="AL21" s="155"/>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row>
    <row r="22" s="62" customFormat="1" ht="17.4" spans="1:66">
      <c r="A22" s="100">
        <v>1.5</v>
      </c>
      <c r="B22" s="101" t="s">
        <v>37</v>
      </c>
      <c r="C22" s="62" t="s">
        <v>6</v>
      </c>
      <c r="D22" s="108"/>
      <c r="E22" s="103">
        <v>44471</v>
      </c>
      <c r="F22" s="104">
        <f t="shared" si="6"/>
        <v>44472</v>
      </c>
      <c r="G22" s="105">
        <v>2</v>
      </c>
      <c r="H22" s="109">
        <v>0</v>
      </c>
      <c r="I22" s="157">
        <v>1</v>
      </c>
      <c r="J22" s="158"/>
      <c r="K22" s="155"/>
      <c r="L22" s="155"/>
      <c r="M22" s="155"/>
      <c r="N22" s="155"/>
      <c r="O22" s="155"/>
      <c r="P22" s="155"/>
      <c r="Q22" s="155"/>
      <c r="R22" s="155"/>
      <c r="S22" s="155"/>
      <c r="T22" s="155"/>
      <c r="U22" s="155"/>
      <c r="V22" s="155"/>
      <c r="W22" s="155"/>
      <c r="X22" s="155"/>
      <c r="Y22" s="155"/>
      <c r="Z22" s="155"/>
      <c r="AA22" s="155"/>
      <c r="AB22" s="155"/>
      <c r="AC22" s="155"/>
      <c r="AD22" s="155"/>
      <c r="AE22" s="155"/>
      <c r="AF22" s="155"/>
      <c r="AG22" s="155"/>
      <c r="AH22" s="155"/>
      <c r="AI22" s="155"/>
      <c r="AJ22" s="155"/>
      <c r="AK22" s="155"/>
      <c r="AL22" s="155"/>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row>
    <row r="23" s="62" customFormat="1" ht="29" customHeight="1" spans="1:66">
      <c r="A23" s="100">
        <v>1.6</v>
      </c>
      <c r="B23" s="101" t="s">
        <v>38</v>
      </c>
      <c r="C23" s="62" t="s">
        <v>6</v>
      </c>
      <c r="D23" s="108"/>
      <c r="E23" s="103">
        <v>44472</v>
      </c>
      <c r="F23" s="104">
        <f t="shared" si="6"/>
        <v>44473</v>
      </c>
      <c r="G23" s="105">
        <v>2</v>
      </c>
      <c r="H23" s="109">
        <v>0</v>
      </c>
      <c r="I23" s="157">
        <v>0</v>
      </c>
      <c r="J23" s="158"/>
      <c r="K23" s="155"/>
      <c r="L23" s="155"/>
      <c r="M23" s="155"/>
      <c r="N23" s="155"/>
      <c r="O23" s="155"/>
      <c r="P23" s="155"/>
      <c r="Q23" s="155"/>
      <c r="R23" s="155"/>
      <c r="S23" s="155"/>
      <c r="T23" s="155"/>
      <c r="U23" s="155"/>
      <c r="V23" s="155"/>
      <c r="W23" s="155"/>
      <c r="X23" s="155"/>
      <c r="Y23" s="155"/>
      <c r="Z23" s="155"/>
      <c r="AA23" s="155"/>
      <c r="AB23" s="155"/>
      <c r="AC23" s="155"/>
      <c r="AD23" s="155"/>
      <c r="AE23" s="155"/>
      <c r="AF23" s="155"/>
      <c r="AG23" s="155"/>
      <c r="AH23" s="155"/>
      <c r="AI23" s="155"/>
      <c r="AJ23" s="155"/>
      <c r="AK23" s="155"/>
      <c r="AL23" s="155"/>
      <c r="AM23" s="155"/>
      <c r="AN23" s="155"/>
      <c r="AO23" s="155"/>
      <c r="AP23" s="155"/>
      <c r="AQ23" s="155"/>
      <c r="AR23" s="155"/>
      <c r="AS23" s="155"/>
      <c r="AT23" s="155"/>
      <c r="AU23" s="155"/>
      <c r="AV23" s="155"/>
      <c r="AW23" s="155"/>
      <c r="AX23" s="155"/>
      <c r="AY23" s="155"/>
      <c r="AZ23" s="155"/>
      <c r="BA23" s="155"/>
      <c r="BB23" s="155"/>
      <c r="BC23" s="155"/>
      <c r="BD23" s="155"/>
      <c r="BE23" s="155"/>
      <c r="BF23" s="155"/>
      <c r="BG23" s="155"/>
      <c r="BH23" s="155"/>
      <c r="BI23" s="155"/>
      <c r="BJ23" s="155"/>
      <c r="BK23" s="155"/>
      <c r="BL23" s="155"/>
      <c r="BM23" s="155"/>
      <c r="BN23" s="155"/>
    </row>
    <row r="24" s="62" customFormat="1" ht="38" customHeight="1" spans="1:66">
      <c r="A24" s="100">
        <v>1.7</v>
      </c>
      <c r="B24" s="101" t="s">
        <v>39</v>
      </c>
      <c r="C24" s="62" t="s">
        <v>6</v>
      </c>
      <c r="D24" s="108"/>
      <c r="E24" s="103">
        <v>44473</v>
      </c>
      <c r="F24" s="104">
        <f t="shared" si="6"/>
        <v>44473</v>
      </c>
      <c r="G24" s="110">
        <v>1</v>
      </c>
      <c r="H24" s="109">
        <v>0</v>
      </c>
      <c r="I24" s="157">
        <v>2</v>
      </c>
      <c r="J24" s="158"/>
      <c r="K24" s="155"/>
      <c r="L24" s="155"/>
      <c r="M24" s="155"/>
      <c r="N24" s="155"/>
      <c r="O24" s="155"/>
      <c r="P24" s="155"/>
      <c r="Q24" s="155"/>
      <c r="R24" s="155"/>
      <c r="S24" s="155"/>
      <c r="T24" s="155"/>
      <c r="U24" s="155"/>
      <c r="V24" s="155"/>
      <c r="W24" s="155"/>
      <c r="X24" s="155"/>
      <c r="Y24" s="155"/>
      <c r="Z24" s="155"/>
      <c r="AA24" s="155"/>
      <c r="AB24" s="155"/>
      <c r="AC24" s="155"/>
      <c r="AD24" s="155"/>
      <c r="AE24" s="155"/>
      <c r="AF24" s="155"/>
      <c r="AG24" s="155"/>
      <c r="AH24" s="155"/>
      <c r="AI24" s="155"/>
      <c r="AJ24" s="155"/>
      <c r="AK24" s="155"/>
      <c r="AL24" s="155"/>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row>
    <row r="25" s="62" customFormat="1" ht="31" customHeight="1" spans="1:66">
      <c r="A25" s="100">
        <v>1.8</v>
      </c>
      <c r="B25" s="101" t="s">
        <v>40</v>
      </c>
      <c r="C25" s="62" t="s">
        <v>6</v>
      </c>
      <c r="D25" s="108"/>
      <c r="E25" s="103">
        <v>44474</v>
      </c>
      <c r="F25" s="104">
        <f t="shared" si="6"/>
        <v>44476</v>
      </c>
      <c r="G25" s="110">
        <v>3</v>
      </c>
      <c r="H25" s="109">
        <v>0</v>
      </c>
      <c r="I25" s="157"/>
      <c r="J25" s="158"/>
      <c r="K25" s="155"/>
      <c r="L25" s="155"/>
      <c r="M25" s="155"/>
      <c r="N25" s="155"/>
      <c r="O25" s="155"/>
      <c r="P25" s="155"/>
      <c r="Q25" s="155"/>
      <c r="R25" s="155"/>
      <c r="S25" s="155"/>
      <c r="T25" s="155"/>
      <c r="U25" s="155"/>
      <c r="V25" s="155"/>
      <c r="W25" s="155"/>
      <c r="X25" s="155"/>
      <c r="Y25" s="155"/>
      <c r="Z25" s="155"/>
      <c r="AA25" s="155"/>
      <c r="AB25" s="155"/>
      <c r="AC25" s="155"/>
      <c r="AD25" s="155"/>
      <c r="AE25" s="155"/>
      <c r="AF25" s="155"/>
      <c r="AG25" s="155"/>
      <c r="AH25" s="155"/>
      <c r="AI25" s="155"/>
      <c r="AJ25" s="155"/>
      <c r="AK25" s="15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row>
    <row r="26" s="61" customFormat="1" ht="17.4" spans="1:66">
      <c r="A26" s="111" t="str">
        <f>IF(ISERROR(VALUE(SUBSTITUTE(prevWBS,".",""))),"1",IF(ISERROR(FIND("`",SUBSTITUTE(prevWBS,".","`",1))),TEXT(VALUE(prevWBS)+1,"#"),TEXT(VALUE(LEFT(prevWBS,FIND("`",SUBSTITUTE(prevWBS,".","`",1))-1))+1,"#")))</f>
        <v>2</v>
      </c>
      <c r="B26" s="112" t="s">
        <v>41</v>
      </c>
      <c r="D26" s="113"/>
      <c r="E26" s="114"/>
      <c r="F26" s="114" t="str">
        <f>IF(ISBLANK(E26)," - ",IF(G26=0,E26,E26+G26-1))</f>
        <v> - </v>
      </c>
      <c r="G26" s="115"/>
      <c r="H26" s="116"/>
      <c r="I26" s="159" t="str">
        <f>IF(OR(F26=0,E26=0)," - ",NETWORKDAYS(E26,F26))</f>
        <v> - </v>
      </c>
      <c r="J26" s="160"/>
      <c r="K26" s="161"/>
      <c r="L26" s="161"/>
      <c r="M26" s="161"/>
      <c r="N26" s="161"/>
      <c r="O26" s="161"/>
      <c r="P26" s="161"/>
      <c r="Q26" s="161"/>
      <c r="R26" s="161"/>
      <c r="S26" s="161"/>
      <c r="T26" s="161"/>
      <c r="U26" s="161"/>
      <c r="V26" s="161"/>
      <c r="W26" s="161"/>
      <c r="X26" s="161"/>
      <c r="Y26" s="161"/>
      <c r="Z26" s="161"/>
      <c r="AA26" s="161"/>
      <c r="AB26" s="161"/>
      <c r="AC26" s="161"/>
      <c r="AD26" s="161"/>
      <c r="AE26" s="161"/>
      <c r="AF26" s="161"/>
      <c r="AG26" s="161"/>
      <c r="AH26" s="161"/>
      <c r="AI26" s="161"/>
      <c r="AJ26" s="161"/>
      <c r="AK26" s="161"/>
      <c r="AL26" s="161"/>
      <c r="AM26" s="161"/>
      <c r="AN26" s="161"/>
      <c r="AO26" s="161"/>
      <c r="AP26" s="161"/>
      <c r="AQ26" s="161"/>
      <c r="AR26" s="161"/>
      <c r="AS26" s="161"/>
      <c r="AT26" s="161"/>
      <c r="AU26" s="161"/>
      <c r="AV26" s="161"/>
      <c r="AW26" s="161"/>
      <c r="AX26" s="161"/>
      <c r="AY26" s="161"/>
      <c r="AZ26" s="161"/>
      <c r="BA26" s="161"/>
      <c r="BB26" s="161"/>
      <c r="BC26" s="161"/>
      <c r="BD26" s="161"/>
      <c r="BE26" s="161"/>
      <c r="BF26" s="161"/>
      <c r="BG26" s="161"/>
      <c r="BH26" s="161"/>
      <c r="BI26" s="161"/>
      <c r="BJ26" s="161"/>
      <c r="BK26" s="161"/>
      <c r="BL26" s="161"/>
      <c r="BM26" s="161"/>
      <c r="BN26" s="161"/>
    </row>
    <row r="27" s="62" customFormat="1" ht="17.4" spans="1:66">
      <c r="A27" s="10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27" s="101" t="s">
        <v>42</v>
      </c>
      <c r="C27" s="62" t="s">
        <v>6</v>
      </c>
      <c r="D27" s="102"/>
      <c r="E27" s="103">
        <v>44460</v>
      </c>
      <c r="F27" s="117">
        <v>44461</v>
      </c>
      <c r="G27" s="105">
        <v>2</v>
      </c>
      <c r="H27" s="106">
        <v>0</v>
      </c>
      <c r="I27" s="153">
        <v>2</v>
      </c>
      <c r="J27" s="154"/>
      <c r="K27" s="155"/>
      <c r="L27" s="155"/>
      <c r="M27" s="155"/>
      <c r="N27" s="155"/>
      <c r="O27" s="155"/>
      <c r="P27" s="155"/>
      <c r="Q27" s="155"/>
      <c r="R27" s="155"/>
      <c r="S27" s="155"/>
      <c r="T27" s="155"/>
      <c r="U27" s="155"/>
      <c r="V27" s="155"/>
      <c r="W27" s="155"/>
      <c r="X27" s="155"/>
      <c r="Y27" s="155"/>
      <c r="Z27" s="155"/>
      <c r="AA27" s="155"/>
      <c r="AB27" s="155"/>
      <c r="AC27" s="155"/>
      <c r="AD27" s="155"/>
      <c r="AE27" s="155"/>
      <c r="AF27" s="155"/>
      <c r="AG27" s="155"/>
      <c r="AH27" s="155"/>
      <c r="AI27" s="155"/>
      <c r="AJ27" s="155"/>
      <c r="AK27" s="155"/>
      <c r="AL27" s="155"/>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c r="BL27" s="155"/>
      <c r="BM27" s="155"/>
      <c r="BN27" s="155"/>
    </row>
    <row r="28" s="62" customFormat="1" ht="17.4" spans="1:66">
      <c r="A28" s="10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28" s="101" t="s">
        <v>43</v>
      </c>
      <c r="C28" s="62" t="s">
        <v>6</v>
      </c>
      <c r="D28" s="102"/>
      <c r="E28" s="103">
        <v>44473</v>
      </c>
      <c r="F28" s="117">
        <v>44474</v>
      </c>
      <c r="G28" s="105">
        <v>3</v>
      </c>
      <c r="H28" s="106">
        <v>0</v>
      </c>
      <c r="I28" s="153">
        <v>3</v>
      </c>
      <c r="J28" s="154"/>
      <c r="K28" s="155"/>
      <c r="L28" s="155"/>
      <c r="M28" s="155"/>
      <c r="N28" s="155"/>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row>
    <row r="29" s="62" customFormat="1" ht="17.4" spans="1:66">
      <c r="A29" s="100" t="s">
        <v>44</v>
      </c>
      <c r="B29" s="101" t="s">
        <v>22</v>
      </c>
      <c r="C29" s="62" t="s">
        <v>6</v>
      </c>
      <c r="D29" s="102"/>
      <c r="E29" s="103">
        <v>44473</v>
      </c>
      <c r="F29" s="117">
        <v>44474</v>
      </c>
      <c r="G29" s="105">
        <v>1</v>
      </c>
      <c r="H29" s="106">
        <v>0</v>
      </c>
      <c r="I29" s="153">
        <v>1</v>
      </c>
      <c r="J29" s="154"/>
      <c r="K29" s="155"/>
      <c r="L29" s="155"/>
      <c r="M29" s="155"/>
      <c r="N29" s="155"/>
      <c r="O29" s="155"/>
      <c r="P29" s="155"/>
      <c r="Q29" s="155"/>
      <c r="R29" s="155"/>
      <c r="S29" s="155"/>
      <c r="T29" s="155"/>
      <c r="U29" s="155"/>
      <c r="V29" s="155"/>
      <c r="W29" s="155"/>
      <c r="X29" s="155"/>
      <c r="Y29" s="155"/>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row>
    <row r="30" s="62" customFormat="1" ht="17.4" spans="1:66">
      <c r="A30" s="100" t="s">
        <v>45</v>
      </c>
      <c r="B30" s="101" t="s">
        <v>24</v>
      </c>
      <c r="C30" s="62" t="s">
        <v>6</v>
      </c>
      <c r="D30" s="102"/>
      <c r="E30" s="103">
        <v>44474</v>
      </c>
      <c r="F30" s="117">
        <v>44475</v>
      </c>
      <c r="G30" s="105">
        <v>1</v>
      </c>
      <c r="H30" s="106">
        <v>0</v>
      </c>
      <c r="I30" s="153">
        <f>IF(OR(F30=0,E30=0)," - ",NETWORKDAYS(E30,F30))</f>
        <v>2</v>
      </c>
      <c r="J30" s="154"/>
      <c r="K30" s="155"/>
      <c r="L30" s="155"/>
      <c r="M30" s="155"/>
      <c r="N30" s="155"/>
      <c r="O30" s="155"/>
      <c r="P30" s="155"/>
      <c r="Q30" s="155"/>
      <c r="R30" s="155"/>
      <c r="S30" s="155"/>
      <c r="T30" s="155"/>
      <c r="U30" s="155"/>
      <c r="V30" s="155"/>
      <c r="W30" s="155"/>
      <c r="X30" s="155"/>
      <c r="Y30" s="155"/>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c r="BL30" s="155"/>
      <c r="BM30" s="155"/>
      <c r="BN30" s="155"/>
    </row>
    <row r="31" s="62" customFormat="1" ht="17.4" spans="1:66">
      <c r="A31" s="100" t="s">
        <v>46</v>
      </c>
      <c r="B31" s="101" t="s">
        <v>26</v>
      </c>
      <c r="C31" s="62" t="s">
        <v>6</v>
      </c>
      <c r="D31" s="102"/>
      <c r="E31" s="103">
        <v>44474</v>
      </c>
      <c r="F31" s="117">
        <v>44475</v>
      </c>
      <c r="G31" s="105">
        <v>1</v>
      </c>
      <c r="H31" s="106">
        <v>0</v>
      </c>
      <c r="I31" s="153">
        <v>1</v>
      </c>
      <c r="J31" s="154"/>
      <c r="K31" s="155"/>
      <c r="L31" s="155"/>
      <c r="M31" s="155"/>
      <c r="N31" s="155"/>
      <c r="O31" s="155"/>
      <c r="P31" s="155"/>
      <c r="Q31" s="155"/>
      <c r="R31" s="155"/>
      <c r="S31" s="155"/>
      <c r="T31" s="155"/>
      <c r="U31" s="155"/>
      <c r="V31" s="155"/>
      <c r="W31" s="155"/>
      <c r="X31" s="155"/>
      <c r="Y31" s="155"/>
      <c r="Z31" s="155"/>
      <c r="AA31" s="155"/>
      <c r="AB31" s="155"/>
      <c r="AC31" s="155"/>
      <c r="AD31" s="155"/>
      <c r="AE31" s="155"/>
      <c r="AF31" s="155"/>
      <c r="AG31" s="155"/>
      <c r="AH31" s="155"/>
      <c r="AI31" s="155"/>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c r="BL31" s="155"/>
      <c r="BM31" s="155"/>
      <c r="BN31" s="155"/>
    </row>
    <row r="32" s="62" customFormat="1" ht="31" customHeight="1" spans="1:66">
      <c r="A32" s="100" t="s">
        <v>47</v>
      </c>
      <c r="B32" s="101" t="s">
        <v>28</v>
      </c>
      <c r="C32" s="62" t="s">
        <v>6</v>
      </c>
      <c r="D32" s="108"/>
      <c r="E32" s="103">
        <v>44474</v>
      </c>
      <c r="F32" s="117">
        <v>44475</v>
      </c>
      <c r="G32" s="110">
        <v>1</v>
      </c>
      <c r="H32" s="118">
        <v>0</v>
      </c>
      <c r="I32" s="157">
        <v>1</v>
      </c>
      <c r="J32" s="158"/>
      <c r="K32" s="155"/>
      <c r="L32" s="155"/>
      <c r="M32" s="155"/>
      <c r="N32" s="155"/>
      <c r="O32" s="155"/>
      <c r="P32" s="155"/>
      <c r="Q32" s="155"/>
      <c r="R32" s="155"/>
      <c r="S32" s="155"/>
      <c r="T32" s="155"/>
      <c r="U32" s="155"/>
      <c r="V32" s="155"/>
      <c r="W32" s="155"/>
      <c r="X32" s="155"/>
      <c r="Y32" s="155"/>
      <c r="Z32" s="155"/>
      <c r="AA32" s="155"/>
      <c r="AB32" s="155"/>
      <c r="AC32" s="155"/>
      <c r="AD32" s="155"/>
      <c r="AE32" s="155"/>
      <c r="AF32" s="155"/>
      <c r="AG32" s="155"/>
      <c r="AH32" s="155"/>
      <c r="AI32" s="155"/>
      <c r="AJ32" s="155"/>
      <c r="AK32" s="155"/>
      <c r="AL32" s="155"/>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c r="BL32" s="155"/>
      <c r="BM32" s="155"/>
      <c r="BN32" s="155"/>
    </row>
    <row r="33" s="62" customFormat="1" ht="17.4" spans="1:66">
      <c r="A33" s="100" t="s">
        <v>48</v>
      </c>
      <c r="B33" s="101" t="s">
        <v>30</v>
      </c>
      <c r="C33" s="62" t="s">
        <v>6</v>
      </c>
      <c r="D33" s="108"/>
      <c r="E33" s="103">
        <v>44475</v>
      </c>
      <c r="F33" s="117">
        <v>44476</v>
      </c>
      <c r="G33" s="110">
        <v>1</v>
      </c>
      <c r="H33" s="118">
        <v>0</v>
      </c>
      <c r="I33" s="157">
        <v>1</v>
      </c>
      <c r="J33" s="158"/>
      <c r="K33" s="155"/>
      <c r="L33" s="155"/>
      <c r="M33" s="155"/>
      <c r="N33" s="155"/>
      <c r="O33" s="155"/>
      <c r="P33" s="155"/>
      <c r="Q33" s="155"/>
      <c r="R33" s="155"/>
      <c r="S33" s="155"/>
      <c r="T33" s="155"/>
      <c r="U33" s="155"/>
      <c r="V33" s="155"/>
      <c r="W33" s="155"/>
      <c r="X33" s="155"/>
      <c r="Y33" s="155"/>
      <c r="Z33" s="155"/>
      <c r="AA33" s="155"/>
      <c r="AB33" s="155"/>
      <c r="AC33" s="155"/>
      <c r="AD33" s="155"/>
      <c r="AE33" s="155"/>
      <c r="AF33" s="155"/>
      <c r="AG33" s="155"/>
      <c r="AH33" s="155"/>
      <c r="AI33" s="155"/>
      <c r="AJ33" s="155"/>
      <c r="AK33" s="155"/>
      <c r="AL33" s="155"/>
      <c r="AM33" s="155"/>
      <c r="AN33" s="155"/>
      <c r="AO33" s="155"/>
      <c r="AP33" s="155"/>
      <c r="AQ33" s="155"/>
      <c r="AR33" s="155"/>
      <c r="AS33" s="155"/>
      <c r="AT33" s="155"/>
      <c r="AU33" s="155"/>
      <c r="AV33" s="155"/>
      <c r="AW33" s="155"/>
      <c r="AX33" s="155"/>
      <c r="AY33" s="155"/>
      <c r="AZ33" s="155"/>
      <c r="BA33" s="155"/>
      <c r="BB33" s="155"/>
      <c r="BC33" s="155"/>
      <c r="BD33" s="155"/>
      <c r="BE33" s="155"/>
      <c r="BF33" s="155"/>
      <c r="BG33" s="155"/>
      <c r="BH33" s="155"/>
      <c r="BI33" s="155"/>
      <c r="BJ33" s="155"/>
      <c r="BK33" s="155"/>
      <c r="BL33" s="155"/>
      <c r="BM33" s="155"/>
      <c r="BN33" s="155"/>
    </row>
    <row r="34" s="62" customFormat="1" ht="17.4" spans="1:66">
      <c r="A34" s="100" t="s">
        <v>49</v>
      </c>
      <c r="B34" s="101" t="s">
        <v>32</v>
      </c>
      <c r="C34" s="62" t="s">
        <v>6</v>
      </c>
      <c r="D34" s="108"/>
      <c r="E34" s="103">
        <v>44475</v>
      </c>
      <c r="F34" s="117">
        <v>44476</v>
      </c>
      <c r="G34" s="110">
        <v>1</v>
      </c>
      <c r="H34" s="118">
        <v>0</v>
      </c>
      <c r="I34" s="157">
        <v>1</v>
      </c>
      <c r="J34" s="158"/>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row>
    <row r="35" s="62" customFormat="1" ht="17.4" spans="1:66">
      <c r="A35" s="100" t="s">
        <v>50</v>
      </c>
      <c r="B35" s="101" t="s">
        <v>34</v>
      </c>
      <c r="C35" s="62" t="s">
        <v>6</v>
      </c>
      <c r="D35" s="108"/>
      <c r="E35" s="103">
        <v>44475</v>
      </c>
      <c r="F35" s="117">
        <v>44476</v>
      </c>
      <c r="G35" s="110">
        <v>1</v>
      </c>
      <c r="H35" s="118">
        <v>0</v>
      </c>
      <c r="I35" s="157">
        <v>1</v>
      </c>
      <c r="J35" s="158"/>
      <c r="K35" s="155"/>
      <c r="L35" s="155"/>
      <c r="M35" s="155"/>
      <c r="N35" s="155"/>
      <c r="O35" s="155"/>
      <c r="P35" s="155"/>
      <c r="Q35" s="155"/>
      <c r="R35" s="155"/>
      <c r="S35" s="155"/>
      <c r="T35" s="155"/>
      <c r="U35" s="155"/>
      <c r="V35" s="155"/>
      <c r="W35" s="155"/>
      <c r="X35" s="155"/>
      <c r="Y35" s="155"/>
      <c r="Z35" s="155"/>
      <c r="AA35" s="155"/>
      <c r="AB35" s="155"/>
      <c r="AC35" s="155"/>
      <c r="AD35" s="155"/>
      <c r="AE35" s="155"/>
      <c r="AF35" s="155"/>
      <c r="AG35" s="155"/>
      <c r="AH35" s="155"/>
      <c r="AI35" s="155"/>
      <c r="AJ35" s="155"/>
      <c r="AK35" s="155"/>
      <c r="AL35" s="155"/>
      <c r="AM35" s="155"/>
      <c r="AN35" s="155"/>
      <c r="AO35" s="155"/>
      <c r="AP35" s="155"/>
      <c r="AQ35" s="155"/>
      <c r="AR35" s="155"/>
      <c r="AS35" s="155"/>
      <c r="AT35" s="155"/>
      <c r="AU35" s="155"/>
      <c r="AV35" s="155"/>
      <c r="AW35" s="155"/>
      <c r="AX35" s="155"/>
      <c r="AY35" s="155"/>
      <c r="AZ35" s="155"/>
      <c r="BA35" s="155"/>
      <c r="BB35" s="155"/>
      <c r="BC35" s="155"/>
      <c r="BD35" s="155"/>
      <c r="BE35" s="155"/>
      <c r="BF35" s="155"/>
      <c r="BG35" s="155"/>
      <c r="BH35" s="155"/>
      <c r="BI35" s="155"/>
      <c r="BJ35" s="155"/>
      <c r="BK35" s="155"/>
      <c r="BL35" s="155"/>
      <c r="BM35" s="155"/>
      <c r="BN35" s="155"/>
    </row>
    <row r="36" s="62" customFormat="1" ht="36" customHeight="1" spans="1:66">
      <c r="A36" s="100" t="s">
        <v>51</v>
      </c>
      <c r="B36" s="101" t="s">
        <v>36</v>
      </c>
      <c r="C36" s="62" t="s">
        <v>6</v>
      </c>
      <c r="D36" s="108"/>
      <c r="E36" s="103">
        <v>44475</v>
      </c>
      <c r="F36" s="117">
        <v>44476</v>
      </c>
      <c r="G36" s="110">
        <v>1</v>
      </c>
      <c r="H36" s="118">
        <v>0</v>
      </c>
      <c r="I36" s="157">
        <v>1</v>
      </c>
      <c r="J36" s="158"/>
      <c r="K36" s="155"/>
      <c r="L36" s="155"/>
      <c r="M36" s="155"/>
      <c r="N36" s="155"/>
      <c r="O36" s="155"/>
      <c r="P36" s="155"/>
      <c r="Q36" s="155"/>
      <c r="R36" s="155"/>
      <c r="S36" s="155"/>
      <c r="T36" s="155"/>
      <c r="U36" s="155"/>
      <c r="V36" s="155"/>
      <c r="W36" s="155"/>
      <c r="X36" s="155"/>
      <c r="Y36" s="155"/>
      <c r="Z36" s="155"/>
      <c r="AA36" s="155"/>
      <c r="AB36" s="155"/>
      <c r="AC36" s="155"/>
      <c r="AD36" s="155"/>
      <c r="AE36" s="155"/>
      <c r="AF36" s="155"/>
      <c r="AG36" s="155"/>
      <c r="AH36" s="155"/>
      <c r="AI36" s="155"/>
      <c r="AJ36" s="155"/>
      <c r="AK36" s="155"/>
      <c r="AL36" s="155"/>
      <c r="AM36" s="155"/>
      <c r="AN36" s="155"/>
      <c r="AO36" s="155"/>
      <c r="AP36" s="155"/>
      <c r="AQ36" s="155"/>
      <c r="AR36" s="155"/>
      <c r="AS36" s="155"/>
      <c r="AT36" s="155"/>
      <c r="AU36" s="155"/>
      <c r="AV36" s="155"/>
      <c r="AW36" s="155"/>
      <c r="AX36" s="155"/>
      <c r="AY36" s="155"/>
      <c r="AZ36" s="155"/>
      <c r="BA36" s="155"/>
      <c r="BB36" s="155"/>
      <c r="BC36" s="155"/>
      <c r="BD36" s="155"/>
      <c r="BE36" s="155"/>
      <c r="BF36" s="155"/>
      <c r="BG36" s="155"/>
      <c r="BH36" s="155"/>
      <c r="BI36" s="155"/>
      <c r="BJ36" s="155"/>
      <c r="BK36" s="155"/>
      <c r="BL36" s="155"/>
      <c r="BM36" s="155"/>
      <c r="BN36" s="155"/>
    </row>
    <row r="37" s="62" customFormat="1" ht="17.4" spans="1:66">
      <c r="A37" s="100">
        <v>2.3</v>
      </c>
      <c r="B37" s="101" t="s">
        <v>52</v>
      </c>
      <c r="C37" s="62" t="s">
        <v>6</v>
      </c>
      <c r="D37" s="108"/>
      <c r="E37" s="103">
        <v>44476</v>
      </c>
      <c r="F37" s="117">
        <v>44480</v>
      </c>
      <c r="G37" s="110">
        <v>5</v>
      </c>
      <c r="H37" s="118">
        <v>0</v>
      </c>
      <c r="I37" s="157">
        <v>3</v>
      </c>
      <c r="J37" s="158"/>
      <c r="K37" s="155"/>
      <c r="L37" s="155"/>
      <c r="M37" s="155"/>
      <c r="N37" s="155"/>
      <c r="O37" s="155"/>
      <c r="P37" s="155"/>
      <c r="Q37" s="155"/>
      <c r="R37" s="155"/>
      <c r="S37" s="155"/>
      <c r="T37" s="155"/>
      <c r="U37" s="155"/>
      <c r="V37" s="155"/>
      <c r="W37" s="155"/>
      <c r="X37" s="155"/>
      <c r="Y37" s="155"/>
      <c r="Z37" s="155"/>
      <c r="AA37" s="155"/>
      <c r="AB37" s="155"/>
      <c r="AC37" s="155"/>
      <c r="AD37" s="155"/>
      <c r="AE37" s="155"/>
      <c r="AF37" s="155"/>
      <c r="AG37" s="155"/>
      <c r="AH37" s="155"/>
      <c r="AI37" s="155"/>
      <c r="AJ37" s="155"/>
      <c r="AK37" s="155"/>
      <c r="AL37" s="155"/>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row>
    <row r="38" s="61" customFormat="1" ht="17.4" spans="1:66">
      <c r="A38" s="111" t="str">
        <f>IF(ISERROR(VALUE(SUBSTITUTE(prevWBS,".",""))),"1",IF(ISERROR(FIND("`",SUBSTITUTE(prevWBS,".","`",1))),TEXT(VALUE(prevWBS)+1,"#"),TEXT(VALUE(LEFT(prevWBS,FIND("`",SUBSTITUTE(prevWBS,".","`",1))-1))+1,"#")))</f>
        <v>3</v>
      </c>
      <c r="B38" s="112" t="s">
        <v>53</v>
      </c>
      <c r="D38" s="113"/>
      <c r="E38" s="114"/>
      <c r="F38" s="114" t="str">
        <f>IF(ISBLANK(E38)," - ",IF(G38=0,E38,E38+G38-1))</f>
        <v> - </v>
      </c>
      <c r="G38" s="115"/>
      <c r="H38" s="116"/>
      <c r="I38" s="159" t="str">
        <f>IF(OR(F38=0,E38=0)," - ",NETWORKDAYS(E38,F38))</f>
        <v> - </v>
      </c>
      <c r="J38" s="160"/>
      <c r="K38" s="161"/>
      <c r="L38" s="161"/>
      <c r="M38" s="161"/>
      <c r="N38" s="161"/>
      <c r="O38" s="161"/>
      <c r="P38" s="161"/>
      <c r="Q38" s="161"/>
      <c r="R38" s="161"/>
      <c r="S38" s="161"/>
      <c r="T38" s="161"/>
      <c r="U38" s="161"/>
      <c r="V38" s="161"/>
      <c r="W38" s="161"/>
      <c r="X38" s="161"/>
      <c r="Y38" s="161"/>
      <c r="Z38" s="161"/>
      <c r="AA38" s="161"/>
      <c r="AB38" s="161"/>
      <c r="AC38" s="161"/>
      <c r="AD38" s="161"/>
      <c r="AE38" s="161"/>
      <c r="AF38" s="161"/>
      <c r="AG38" s="161"/>
      <c r="AH38" s="161"/>
      <c r="AI38" s="161"/>
      <c r="AJ38" s="161"/>
      <c r="AK38" s="161"/>
      <c r="AL38" s="161"/>
      <c r="AM38" s="161"/>
      <c r="AN38" s="161"/>
      <c r="AO38" s="161"/>
      <c r="AP38" s="161"/>
      <c r="AQ38" s="161"/>
      <c r="AR38" s="161"/>
      <c r="AS38" s="161"/>
      <c r="AT38" s="161"/>
      <c r="AU38" s="161"/>
      <c r="AV38" s="161"/>
      <c r="AW38" s="161"/>
      <c r="AX38" s="161"/>
      <c r="AY38" s="161"/>
      <c r="AZ38" s="161"/>
      <c r="BA38" s="161"/>
      <c r="BB38" s="161"/>
      <c r="BC38" s="161"/>
      <c r="BD38" s="161"/>
      <c r="BE38" s="161"/>
      <c r="BF38" s="161"/>
      <c r="BG38" s="161"/>
      <c r="BH38" s="161"/>
      <c r="BI38" s="161"/>
      <c r="BJ38" s="161"/>
      <c r="BK38" s="161"/>
      <c r="BL38" s="161"/>
      <c r="BM38" s="161"/>
      <c r="BN38" s="161"/>
    </row>
    <row r="39" s="62" customFormat="1" ht="17.4" spans="1:66">
      <c r="A39" s="10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39" s="101" t="s">
        <v>54</v>
      </c>
      <c r="C39" s="62" t="s">
        <v>6</v>
      </c>
      <c r="D39" s="102"/>
      <c r="E39" s="103">
        <v>44481</v>
      </c>
      <c r="F39" s="104">
        <f>IF(ISBLANK(E39)," - ",IF(G39=0,E39,E39+G39-1))</f>
        <v>44484</v>
      </c>
      <c r="G39" s="105">
        <v>4</v>
      </c>
      <c r="H39" s="106">
        <v>0</v>
      </c>
      <c r="I39" s="153">
        <f>IF(OR(F39=0,E39=0)," - ",NETWORKDAYS(E39,F39))</f>
        <v>4</v>
      </c>
      <c r="J39" s="154"/>
      <c r="K39" s="155"/>
      <c r="L39" s="155"/>
      <c r="M39" s="155"/>
      <c r="N39" s="155"/>
      <c r="O39" s="155"/>
      <c r="P39" s="155"/>
      <c r="Q39" s="155"/>
      <c r="R39" s="155"/>
      <c r="S39" s="155"/>
      <c r="T39" s="155"/>
      <c r="U39" s="155"/>
      <c r="V39" s="155"/>
      <c r="W39" s="155"/>
      <c r="X39" s="155"/>
      <c r="Y39" s="155"/>
      <c r="Z39" s="155"/>
      <c r="AA39" s="155"/>
      <c r="AB39" s="155"/>
      <c r="AC39" s="155"/>
      <c r="AD39" s="155"/>
      <c r="AE39" s="155"/>
      <c r="AF39" s="155"/>
      <c r="AG39" s="155"/>
      <c r="AH39" s="155"/>
      <c r="AI39" s="155"/>
      <c r="AJ39" s="155"/>
      <c r="AK39" s="155"/>
      <c r="AL39" s="155"/>
      <c r="AM39" s="155"/>
      <c r="AN39" s="155"/>
      <c r="AO39" s="155"/>
      <c r="AP39" s="155"/>
      <c r="AQ39" s="155"/>
      <c r="AR39" s="155"/>
      <c r="AS39" s="155"/>
      <c r="AT39" s="155"/>
      <c r="AU39" s="155"/>
      <c r="AV39" s="155"/>
      <c r="AW39" s="155"/>
      <c r="AX39" s="155"/>
      <c r="AY39" s="155"/>
      <c r="AZ39" s="155"/>
      <c r="BA39" s="155"/>
      <c r="BB39" s="155"/>
      <c r="BC39" s="155"/>
      <c r="BD39" s="155"/>
      <c r="BE39" s="155"/>
      <c r="BF39" s="155"/>
      <c r="BG39" s="155"/>
      <c r="BH39" s="155"/>
      <c r="BI39" s="155"/>
      <c r="BJ39" s="155"/>
      <c r="BK39" s="155"/>
      <c r="BL39" s="155"/>
      <c r="BM39" s="155"/>
      <c r="BN39" s="155"/>
    </row>
    <row r="40" s="62" customFormat="1" ht="17.4" spans="1:66">
      <c r="A40" s="100" t="s">
        <v>55</v>
      </c>
      <c r="B40" s="101" t="s">
        <v>56</v>
      </c>
      <c r="C40" s="62" t="s">
        <v>6</v>
      </c>
      <c r="D40" s="102"/>
      <c r="E40" s="103">
        <v>44482</v>
      </c>
      <c r="F40" s="104">
        <f>IF(ISBLANK(E40)," - ",IF(G40=0,E40,E40+G40-1))</f>
        <v>44482</v>
      </c>
      <c r="G40" s="105">
        <v>1</v>
      </c>
      <c r="H40" s="106">
        <v>0</v>
      </c>
      <c r="I40" s="153">
        <f>IF(OR(F40=0,E40=0)," - ",NETWORKDAYS(E40,F40))</f>
        <v>1</v>
      </c>
      <c r="J40" s="154"/>
      <c r="K40" s="155"/>
      <c r="L40" s="155"/>
      <c r="M40" s="155"/>
      <c r="N40" s="155"/>
      <c r="O40" s="155"/>
      <c r="P40" s="155"/>
      <c r="Q40" s="155"/>
      <c r="R40" s="155"/>
      <c r="S40" s="155"/>
      <c r="T40" s="155"/>
      <c r="U40" s="155"/>
      <c r="V40" s="155"/>
      <c r="W40" s="155"/>
      <c r="X40" s="155"/>
      <c r="Y40" s="155"/>
      <c r="Z40" s="155"/>
      <c r="AA40" s="155"/>
      <c r="AB40" s="155"/>
      <c r="AC40" s="155"/>
      <c r="AD40" s="155"/>
      <c r="AE40" s="155"/>
      <c r="AF40" s="155"/>
      <c r="AG40" s="155"/>
      <c r="AH40" s="155"/>
      <c r="AI40" s="155"/>
      <c r="AJ40" s="155"/>
      <c r="AK40" s="155"/>
      <c r="AL40" s="155"/>
      <c r="AM40" s="155"/>
      <c r="AN40" s="155"/>
      <c r="AO40" s="155"/>
      <c r="AP40" s="155"/>
      <c r="AQ40" s="155"/>
      <c r="AR40" s="155"/>
      <c r="AS40" s="155"/>
      <c r="AT40" s="155"/>
      <c r="AU40" s="155"/>
      <c r="AV40" s="155"/>
      <c r="AW40" s="155"/>
      <c r="AX40" s="155"/>
      <c r="AY40" s="155"/>
      <c r="AZ40" s="155"/>
      <c r="BA40" s="155"/>
      <c r="BB40" s="155"/>
      <c r="BC40" s="155"/>
      <c r="BD40" s="155"/>
      <c r="BE40" s="155"/>
      <c r="BF40" s="155"/>
      <c r="BG40" s="155"/>
      <c r="BH40" s="155"/>
      <c r="BI40" s="155"/>
      <c r="BJ40" s="155"/>
      <c r="BK40" s="155"/>
      <c r="BL40" s="155"/>
      <c r="BM40" s="155"/>
      <c r="BN40" s="155"/>
    </row>
    <row r="41" s="62" customFormat="1" ht="48" customHeight="1" spans="1:66">
      <c r="A41" s="100" t="s">
        <v>57</v>
      </c>
      <c r="B41" s="101" t="s">
        <v>58</v>
      </c>
      <c r="C41" s="62" t="s">
        <v>6</v>
      </c>
      <c r="D41" s="102"/>
      <c r="E41" s="103">
        <v>44483</v>
      </c>
      <c r="F41" s="104">
        <f>IF(ISBLANK(E41)," - ",IF(G41=0,E41,E41+G41-1))</f>
        <v>44483</v>
      </c>
      <c r="G41" s="105">
        <v>1</v>
      </c>
      <c r="H41" s="106">
        <v>0</v>
      </c>
      <c r="I41" s="153">
        <f>IF(OR(F41=0,E41=0)," - ",NETWORKDAYS(E41,F41))</f>
        <v>1</v>
      </c>
      <c r="J41" s="154"/>
      <c r="K41" s="155"/>
      <c r="L41" s="155"/>
      <c r="M41" s="155"/>
      <c r="N41" s="155"/>
      <c r="O41" s="155"/>
      <c r="P41" s="155"/>
      <c r="Q41" s="155"/>
      <c r="R41" s="155"/>
      <c r="S41" s="155"/>
      <c r="T41" s="155"/>
      <c r="U41" s="155"/>
      <c r="V41" s="155"/>
      <c r="W41" s="155"/>
      <c r="X41" s="155"/>
      <c r="Y41" s="155"/>
      <c r="Z41" s="155"/>
      <c r="AA41" s="155"/>
      <c r="AB41" s="155"/>
      <c r="AC41" s="155"/>
      <c r="AD41" s="155"/>
      <c r="AE41" s="155"/>
      <c r="AF41" s="155"/>
      <c r="AG41" s="155"/>
      <c r="AH41" s="155"/>
      <c r="AI41" s="155"/>
      <c r="AJ41" s="155"/>
      <c r="AK41" s="155"/>
      <c r="AL41" s="155"/>
      <c r="AM41" s="155"/>
      <c r="AN41" s="155"/>
      <c r="AO41" s="155"/>
      <c r="AP41" s="155"/>
      <c r="AQ41" s="155"/>
      <c r="AR41" s="155"/>
      <c r="AS41" s="155"/>
      <c r="AT41" s="155"/>
      <c r="AU41" s="155"/>
      <c r="AV41" s="155"/>
      <c r="AW41" s="155"/>
      <c r="AX41" s="155"/>
      <c r="AY41" s="155"/>
      <c r="AZ41" s="155"/>
      <c r="BA41" s="155"/>
      <c r="BB41" s="155"/>
      <c r="BC41" s="155"/>
      <c r="BD41" s="155"/>
      <c r="BE41" s="155"/>
      <c r="BF41" s="155"/>
      <c r="BG41" s="155"/>
      <c r="BH41" s="155"/>
      <c r="BI41" s="155"/>
      <c r="BJ41" s="155"/>
      <c r="BK41" s="155"/>
      <c r="BL41" s="155"/>
      <c r="BM41" s="155"/>
      <c r="BN41" s="155"/>
    </row>
    <row r="42" s="62" customFormat="1" ht="17.4" spans="1:66">
      <c r="A42" s="100" t="s">
        <v>59</v>
      </c>
      <c r="B42" s="101" t="s">
        <v>60</v>
      </c>
      <c r="C42" s="62" t="s">
        <v>6</v>
      </c>
      <c r="D42" s="102"/>
      <c r="E42" s="103">
        <v>44484</v>
      </c>
      <c r="F42" s="104">
        <f>IF(ISBLANK(E42)," - ",IF(G42=0,E42,E42+G42-1))</f>
        <v>44485</v>
      </c>
      <c r="G42" s="105">
        <v>2</v>
      </c>
      <c r="H42" s="106">
        <v>0</v>
      </c>
      <c r="I42" s="153">
        <v>2</v>
      </c>
      <c r="J42" s="154"/>
      <c r="K42" s="155"/>
      <c r="L42" s="155"/>
      <c r="M42" s="155"/>
      <c r="N42" s="155"/>
      <c r="O42" s="155"/>
      <c r="P42" s="155"/>
      <c r="Q42" s="155"/>
      <c r="R42" s="155"/>
      <c r="S42" s="155"/>
      <c r="T42" s="155"/>
      <c r="U42" s="155"/>
      <c r="V42" s="155"/>
      <c r="W42" s="155"/>
      <c r="X42" s="155"/>
      <c r="Y42" s="155"/>
      <c r="Z42" s="155"/>
      <c r="AA42" s="155"/>
      <c r="AB42" s="155"/>
      <c r="AC42" s="155"/>
      <c r="AD42" s="155"/>
      <c r="AE42" s="155"/>
      <c r="AF42" s="155"/>
      <c r="AG42" s="155"/>
      <c r="AH42" s="155"/>
      <c r="AI42" s="155"/>
      <c r="AJ42" s="155"/>
      <c r="AK42" s="155"/>
      <c r="AL42" s="155"/>
      <c r="AM42" s="155"/>
      <c r="AN42" s="155"/>
      <c r="AO42" s="155"/>
      <c r="AP42" s="155"/>
      <c r="AQ42" s="155"/>
      <c r="AR42" s="155"/>
      <c r="AS42" s="155"/>
      <c r="AT42" s="155"/>
      <c r="AU42" s="155"/>
      <c r="AV42" s="155"/>
      <c r="AW42" s="155"/>
      <c r="AX42" s="155"/>
      <c r="AY42" s="155"/>
      <c r="AZ42" s="155"/>
      <c r="BA42" s="155"/>
      <c r="BB42" s="155"/>
      <c r="BC42" s="155"/>
      <c r="BD42" s="155"/>
      <c r="BE42" s="155"/>
      <c r="BF42" s="155"/>
      <c r="BG42" s="155"/>
      <c r="BH42" s="155"/>
      <c r="BI42" s="155"/>
      <c r="BJ42" s="155"/>
      <c r="BK42" s="155"/>
      <c r="BL42" s="155"/>
      <c r="BM42" s="155"/>
      <c r="BN42" s="155"/>
    </row>
    <row r="43" s="62" customFormat="1" ht="17.4" spans="1:66">
      <c r="A43" s="10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43" s="101" t="s">
        <v>61</v>
      </c>
      <c r="C43" s="62" t="s">
        <v>6</v>
      </c>
      <c r="D43" s="102"/>
      <c r="E43" s="103">
        <v>44485</v>
      </c>
      <c r="F43" s="117">
        <v>44486</v>
      </c>
      <c r="G43" s="105">
        <v>14</v>
      </c>
      <c r="H43" s="106">
        <v>0</v>
      </c>
      <c r="I43" s="153">
        <v>10</v>
      </c>
      <c r="J43" s="154"/>
      <c r="K43" s="155"/>
      <c r="L43" s="155"/>
      <c r="M43" s="155"/>
      <c r="N43" s="155"/>
      <c r="O43" s="155"/>
      <c r="P43" s="155"/>
      <c r="Q43" s="155"/>
      <c r="R43" s="155"/>
      <c r="S43" s="155"/>
      <c r="T43" s="155"/>
      <c r="U43" s="155"/>
      <c r="V43" s="155"/>
      <c r="W43" s="155"/>
      <c r="X43" s="155"/>
      <c r="Y43" s="155"/>
      <c r="Z43" s="155"/>
      <c r="AA43" s="155"/>
      <c r="AB43" s="155"/>
      <c r="AC43" s="155"/>
      <c r="AD43" s="155"/>
      <c r="AE43" s="155"/>
      <c r="AF43" s="155"/>
      <c r="AG43" s="155"/>
      <c r="AH43" s="155"/>
      <c r="AI43" s="155"/>
      <c r="AJ43" s="155"/>
      <c r="AK43" s="155"/>
      <c r="AL43" s="155"/>
      <c r="AM43" s="155"/>
      <c r="AN43" s="155"/>
      <c r="AO43" s="155"/>
      <c r="AP43" s="155"/>
      <c r="AQ43" s="155"/>
      <c r="AR43" s="155"/>
      <c r="AS43" s="155"/>
      <c r="AT43" s="155"/>
      <c r="AU43" s="155"/>
      <c r="AV43" s="155"/>
      <c r="AW43" s="155"/>
      <c r="AX43" s="155"/>
      <c r="AY43" s="155"/>
      <c r="AZ43" s="155"/>
      <c r="BA43" s="155"/>
      <c r="BB43" s="155"/>
      <c r="BC43" s="155"/>
      <c r="BD43" s="155"/>
      <c r="BE43" s="155"/>
      <c r="BF43" s="155"/>
      <c r="BG43" s="155"/>
      <c r="BH43" s="155"/>
      <c r="BI43" s="155"/>
      <c r="BJ43" s="155"/>
      <c r="BK43" s="155"/>
      <c r="BL43" s="155"/>
      <c r="BM43" s="155"/>
      <c r="BN43" s="155"/>
    </row>
    <row r="44" s="62" customFormat="1" ht="17.4" spans="1:66">
      <c r="A44" s="100" t="s">
        <v>62</v>
      </c>
      <c r="B44" s="101" t="s">
        <v>63</v>
      </c>
      <c r="C44" s="62" t="s">
        <v>6</v>
      </c>
      <c r="D44" s="119"/>
      <c r="E44" s="103">
        <v>44486</v>
      </c>
      <c r="F44" s="117">
        <v>44487</v>
      </c>
      <c r="G44" s="120">
        <v>2</v>
      </c>
      <c r="H44" s="121">
        <v>0</v>
      </c>
      <c r="I44" s="162">
        <v>1</v>
      </c>
      <c r="J44" s="163"/>
      <c r="K44" s="155"/>
      <c r="L44" s="155"/>
      <c r="M44" s="155"/>
      <c r="N44" s="155"/>
      <c r="O44" s="155"/>
      <c r="P44" s="155"/>
      <c r="Q44" s="155"/>
      <c r="R44" s="155"/>
      <c r="S44" s="155"/>
      <c r="T44" s="155"/>
      <c r="U44" s="155"/>
      <c r="V44" s="155"/>
      <c r="W44" s="155"/>
      <c r="X44" s="155"/>
      <c r="Y44" s="155"/>
      <c r="Z44" s="155"/>
      <c r="AA44" s="155"/>
      <c r="AB44" s="155"/>
      <c r="AC44" s="155"/>
      <c r="AD44" s="155"/>
      <c r="AE44" s="155"/>
      <c r="AF44" s="155"/>
      <c r="AG44" s="155"/>
      <c r="AH44" s="155"/>
      <c r="AI44" s="155"/>
      <c r="AJ44" s="155"/>
      <c r="AK44" s="155"/>
      <c r="AL44" s="155"/>
      <c r="AM44" s="155"/>
      <c r="AN44" s="155"/>
      <c r="AO44" s="155"/>
      <c r="AP44" s="155"/>
      <c r="AQ44" s="155"/>
      <c r="AR44" s="155"/>
      <c r="AS44" s="155"/>
      <c r="AT44" s="155"/>
      <c r="AU44" s="155"/>
      <c r="AV44" s="155"/>
      <c r="AW44" s="155"/>
      <c r="AX44" s="155"/>
      <c r="AY44" s="155"/>
      <c r="AZ44" s="155"/>
      <c r="BA44" s="155"/>
      <c r="BB44" s="155"/>
      <c r="BC44" s="155"/>
      <c r="BD44" s="155"/>
      <c r="BE44" s="155"/>
      <c r="BF44" s="155"/>
      <c r="BG44" s="155"/>
      <c r="BH44" s="155"/>
      <c r="BI44" s="155"/>
      <c r="BJ44" s="155"/>
      <c r="BK44" s="155"/>
      <c r="BL44" s="155"/>
      <c r="BM44" s="155"/>
      <c r="BN44" s="155"/>
    </row>
    <row r="45" s="62" customFormat="1" ht="17.4" spans="1:66">
      <c r="A45" s="100" t="s">
        <v>64</v>
      </c>
      <c r="B45" s="101" t="s">
        <v>65</v>
      </c>
      <c r="C45" s="62" t="s">
        <v>6</v>
      </c>
      <c r="D45" s="119"/>
      <c r="E45" s="103">
        <v>44487</v>
      </c>
      <c r="F45" s="117">
        <v>44488</v>
      </c>
      <c r="G45" s="120">
        <v>2</v>
      </c>
      <c r="H45" s="121">
        <v>0</v>
      </c>
      <c r="I45" s="162">
        <v>0</v>
      </c>
      <c r="J45" s="163"/>
      <c r="K45" s="155"/>
      <c r="L45" s="155"/>
      <c r="M45" s="155"/>
      <c r="N45" s="155"/>
      <c r="O45" s="155"/>
      <c r="P45" s="155"/>
      <c r="Q45" s="155"/>
      <c r="R45" s="155"/>
      <c r="S45" s="155"/>
      <c r="T45" s="155"/>
      <c r="U45" s="155"/>
      <c r="V45" s="155"/>
      <c r="W45" s="155"/>
      <c r="X45" s="155"/>
      <c r="Y45" s="155"/>
      <c r="Z45" s="155"/>
      <c r="AA45" s="155"/>
      <c r="AB45" s="155"/>
      <c r="AC45" s="155"/>
      <c r="AD45" s="155"/>
      <c r="AE45" s="155"/>
      <c r="AF45" s="155"/>
      <c r="AG45" s="155"/>
      <c r="AH45" s="155"/>
      <c r="AI45" s="155"/>
      <c r="AJ45" s="155"/>
      <c r="AK45" s="155"/>
      <c r="AL45" s="155"/>
      <c r="AM45" s="155"/>
      <c r="AN45" s="155"/>
      <c r="AO45" s="155"/>
      <c r="AP45" s="155"/>
      <c r="AQ45" s="155"/>
      <c r="AR45" s="155"/>
      <c r="AS45" s="155"/>
      <c r="AT45" s="155"/>
      <c r="AU45" s="155"/>
      <c r="AV45" s="155"/>
      <c r="AW45" s="155"/>
      <c r="AX45" s="155"/>
      <c r="AY45" s="155"/>
      <c r="AZ45" s="155"/>
      <c r="BA45" s="155"/>
      <c r="BB45" s="155"/>
      <c r="BC45" s="155"/>
      <c r="BD45" s="155"/>
      <c r="BE45" s="155"/>
      <c r="BF45" s="155"/>
      <c r="BG45" s="155"/>
      <c r="BH45" s="155"/>
      <c r="BI45" s="155"/>
      <c r="BJ45" s="155"/>
      <c r="BK45" s="155"/>
      <c r="BL45" s="155"/>
      <c r="BM45" s="155"/>
      <c r="BN45" s="155"/>
    </row>
    <row r="46" s="62" customFormat="1" ht="17.4" spans="1:66">
      <c r="A46" s="100" t="s">
        <v>66</v>
      </c>
      <c r="B46" s="101" t="s">
        <v>67</v>
      </c>
      <c r="C46" s="62" t="s">
        <v>6</v>
      </c>
      <c r="D46" s="119"/>
      <c r="E46" s="103">
        <v>44488</v>
      </c>
      <c r="F46" s="117">
        <v>44489</v>
      </c>
      <c r="G46" s="120">
        <v>2</v>
      </c>
      <c r="H46" s="121">
        <v>0</v>
      </c>
      <c r="I46" s="162">
        <v>1</v>
      </c>
      <c r="J46" s="163"/>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row>
    <row r="47" s="62" customFormat="1" ht="38" customHeight="1" spans="1:66">
      <c r="A47" s="100" t="s">
        <v>68</v>
      </c>
      <c r="B47" s="101" t="s">
        <v>69</v>
      </c>
      <c r="C47" s="62" t="s">
        <v>6</v>
      </c>
      <c r="D47" s="119"/>
      <c r="E47" s="103">
        <v>44489</v>
      </c>
      <c r="F47" s="117">
        <v>44490</v>
      </c>
      <c r="G47" s="120">
        <v>1</v>
      </c>
      <c r="H47" s="121">
        <v>0</v>
      </c>
      <c r="I47" s="162">
        <v>1</v>
      </c>
      <c r="J47" s="163"/>
      <c r="K47" s="155"/>
      <c r="L47" s="155"/>
      <c r="M47" s="155"/>
      <c r="N47" s="155"/>
      <c r="O47" s="155"/>
      <c r="P47" s="155"/>
      <c r="Q47" s="155"/>
      <c r="R47" s="155"/>
      <c r="S47" s="155"/>
      <c r="T47" s="155"/>
      <c r="U47" s="155"/>
      <c r="V47" s="155"/>
      <c r="W47" s="155"/>
      <c r="X47" s="155"/>
      <c r="Y47" s="155"/>
      <c r="Z47" s="155"/>
      <c r="AA47" s="155"/>
      <c r="AB47" s="155"/>
      <c r="AC47" s="155"/>
      <c r="AD47" s="155"/>
      <c r="AE47" s="155"/>
      <c r="AF47" s="155"/>
      <c r="AG47" s="155"/>
      <c r="AH47" s="155"/>
      <c r="AI47" s="155"/>
      <c r="AJ47" s="155"/>
      <c r="AK47" s="155"/>
      <c r="AL47" s="155"/>
      <c r="AM47" s="155"/>
      <c r="AN47" s="155"/>
      <c r="AO47" s="155"/>
      <c r="AP47" s="155"/>
      <c r="AQ47" s="155"/>
      <c r="AR47" s="155"/>
      <c r="AS47" s="155"/>
      <c r="AT47" s="155"/>
      <c r="AU47" s="155"/>
      <c r="AV47" s="155"/>
      <c r="AW47" s="155"/>
      <c r="AX47" s="155"/>
      <c r="AY47" s="155"/>
      <c r="AZ47" s="155"/>
      <c r="BA47" s="155"/>
      <c r="BB47" s="155"/>
      <c r="BC47" s="155"/>
      <c r="BD47" s="155"/>
      <c r="BE47" s="155"/>
      <c r="BF47" s="155"/>
      <c r="BG47" s="155"/>
      <c r="BH47" s="155"/>
      <c r="BI47" s="155"/>
      <c r="BJ47" s="155"/>
      <c r="BK47" s="155"/>
      <c r="BL47" s="155"/>
      <c r="BM47" s="155"/>
      <c r="BN47" s="155"/>
    </row>
    <row r="48" s="62" customFormat="1" ht="17.4" spans="1:66">
      <c r="A48" s="100" t="s">
        <v>70</v>
      </c>
      <c r="B48" s="101" t="s">
        <v>71</v>
      </c>
      <c r="C48" s="62" t="s">
        <v>6</v>
      </c>
      <c r="D48" s="119"/>
      <c r="E48" s="103">
        <v>44490</v>
      </c>
      <c r="F48" s="117">
        <v>44491</v>
      </c>
      <c r="G48" s="120">
        <v>3</v>
      </c>
      <c r="H48" s="121">
        <v>0</v>
      </c>
      <c r="I48" s="162">
        <v>3</v>
      </c>
      <c r="J48" s="163"/>
      <c r="K48" s="155"/>
      <c r="L48" s="155"/>
      <c r="M48" s="155"/>
      <c r="N48" s="155"/>
      <c r="O48" s="155"/>
      <c r="P48" s="155"/>
      <c r="Q48" s="155"/>
      <c r="R48" s="155"/>
      <c r="S48" s="155"/>
      <c r="T48" s="155"/>
      <c r="U48" s="155"/>
      <c r="V48" s="155"/>
      <c r="W48" s="155"/>
      <c r="X48" s="155"/>
      <c r="Y48" s="155"/>
      <c r="Z48" s="155"/>
      <c r="AA48" s="155"/>
      <c r="AB48" s="155"/>
      <c r="AC48" s="155"/>
      <c r="AD48" s="155"/>
      <c r="AE48" s="155"/>
      <c r="AF48" s="155"/>
      <c r="AG48" s="155"/>
      <c r="AH48" s="155"/>
      <c r="AI48" s="155"/>
      <c r="AJ48" s="155"/>
      <c r="AK48" s="155"/>
      <c r="AL48" s="155"/>
      <c r="AM48" s="155"/>
      <c r="AN48" s="155"/>
      <c r="AO48" s="155"/>
      <c r="AP48" s="155"/>
      <c r="AQ48" s="155"/>
      <c r="AR48" s="155"/>
      <c r="AS48" s="155"/>
      <c r="AT48" s="155"/>
      <c r="AU48" s="155"/>
      <c r="AV48" s="155"/>
      <c r="AW48" s="155"/>
      <c r="AX48" s="155"/>
      <c r="AY48" s="155"/>
      <c r="AZ48" s="155"/>
      <c r="BA48" s="155"/>
      <c r="BB48" s="155"/>
      <c r="BC48" s="155"/>
      <c r="BD48" s="155"/>
      <c r="BE48" s="155"/>
      <c r="BF48" s="155"/>
      <c r="BG48" s="155"/>
      <c r="BH48" s="155"/>
      <c r="BI48" s="155"/>
      <c r="BJ48" s="155"/>
      <c r="BK48" s="155"/>
      <c r="BL48" s="155"/>
      <c r="BM48" s="155"/>
      <c r="BN48" s="155"/>
    </row>
    <row r="49" s="62" customFormat="1" ht="17.4" spans="1:66">
      <c r="A49" s="100" t="s">
        <v>72</v>
      </c>
      <c r="B49" s="101" t="s">
        <v>73</v>
      </c>
      <c r="C49" s="62" t="s">
        <v>6</v>
      </c>
      <c r="D49" s="119"/>
      <c r="E49" s="103">
        <v>44491</v>
      </c>
      <c r="F49" s="117">
        <v>44492</v>
      </c>
      <c r="G49" s="120">
        <v>2</v>
      </c>
      <c r="H49" s="121">
        <v>0</v>
      </c>
      <c r="I49" s="162">
        <v>2</v>
      </c>
      <c r="J49" s="163"/>
      <c r="K49" s="155"/>
      <c r="L49" s="155"/>
      <c r="M49" s="155"/>
      <c r="N49" s="155"/>
      <c r="O49" s="155"/>
      <c r="P49" s="155"/>
      <c r="Q49" s="155"/>
      <c r="R49" s="155"/>
      <c r="S49" s="155"/>
      <c r="T49" s="155"/>
      <c r="U49" s="155"/>
      <c r="V49" s="155"/>
      <c r="W49" s="155"/>
      <c r="X49" s="155"/>
      <c r="Y49" s="155"/>
      <c r="Z49" s="155"/>
      <c r="AA49" s="155"/>
      <c r="AB49" s="155"/>
      <c r="AC49" s="155"/>
      <c r="AD49" s="155"/>
      <c r="AE49" s="155"/>
      <c r="AF49" s="155"/>
      <c r="AG49" s="155"/>
      <c r="AH49" s="155"/>
      <c r="AI49" s="155"/>
      <c r="AJ49" s="155"/>
      <c r="AK49" s="155"/>
      <c r="AL49" s="155"/>
      <c r="AM49" s="155"/>
      <c r="AN49" s="155"/>
      <c r="AO49" s="155"/>
      <c r="AP49" s="155"/>
      <c r="AQ49" s="155"/>
      <c r="AR49" s="155"/>
      <c r="AS49" s="155"/>
      <c r="AT49" s="155"/>
      <c r="AU49" s="155"/>
      <c r="AV49" s="155"/>
      <c r="AW49" s="155"/>
      <c r="AX49" s="155"/>
      <c r="AY49" s="155"/>
      <c r="AZ49" s="155"/>
      <c r="BA49" s="155"/>
      <c r="BB49" s="155"/>
      <c r="BC49" s="155"/>
      <c r="BD49" s="155"/>
      <c r="BE49" s="155"/>
      <c r="BF49" s="155"/>
      <c r="BG49" s="155"/>
      <c r="BH49" s="155"/>
      <c r="BI49" s="155"/>
      <c r="BJ49" s="155"/>
      <c r="BK49" s="155"/>
      <c r="BL49" s="155"/>
      <c r="BM49" s="155"/>
      <c r="BN49" s="155"/>
    </row>
    <row r="50" s="62" customFormat="1" ht="27" customHeight="1" spans="1:66">
      <c r="A50" s="100" t="s">
        <v>74</v>
      </c>
      <c r="B50" s="101" t="s">
        <v>75</v>
      </c>
      <c r="C50" s="62" t="s">
        <v>6</v>
      </c>
      <c r="D50" s="119"/>
      <c r="E50" s="103">
        <v>44492</v>
      </c>
      <c r="F50" s="117">
        <v>44493</v>
      </c>
      <c r="G50" s="120">
        <v>3</v>
      </c>
      <c r="H50" s="121">
        <v>0</v>
      </c>
      <c r="I50" s="162">
        <v>1</v>
      </c>
      <c r="J50" s="163"/>
      <c r="K50" s="155"/>
      <c r="L50" s="155"/>
      <c r="M50" s="155"/>
      <c r="N50" s="155"/>
      <c r="O50" s="155"/>
      <c r="P50" s="155"/>
      <c r="Q50" s="155"/>
      <c r="R50" s="155"/>
      <c r="S50" s="155"/>
      <c r="T50" s="155"/>
      <c r="U50" s="155"/>
      <c r="V50" s="155"/>
      <c r="W50" s="155"/>
      <c r="X50" s="155"/>
      <c r="Y50" s="155"/>
      <c r="Z50" s="155"/>
      <c r="AA50" s="155"/>
      <c r="AB50" s="155"/>
      <c r="AC50" s="155"/>
      <c r="AD50" s="155"/>
      <c r="AE50" s="155"/>
      <c r="AF50" s="155"/>
      <c r="AG50" s="155"/>
      <c r="AH50" s="155"/>
      <c r="AI50" s="155"/>
      <c r="AJ50" s="155"/>
      <c r="AK50" s="155"/>
      <c r="AL50" s="155"/>
      <c r="AM50" s="155"/>
      <c r="AN50" s="155"/>
      <c r="AO50" s="155"/>
      <c r="AP50" s="155"/>
      <c r="AQ50" s="155"/>
      <c r="AR50" s="155"/>
      <c r="AS50" s="155"/>
      <c r="AT50" s="155"/>
      <c r="AU50" s="155"/>
      <c r="AV50" s="155"/>
      <c r="AW50" s="155"/>
      <c r="AX50" s="155"/>
      <c r="AY50" s="155"/>
      <c r="AZ50" s="155"/>
      <c r="BA50" s="155"/>
      <c r="BB50" s="155"/>
      <c r="BC50" s="155"/>
      <c r="BD50" s="155"/>
      <c r="BE50" s="155"/>
      <c r="BF50" s="155"/>
      <c r="BG50" s="155"/>
      <c r="BH50" s="155"/>
      <c r="BI50" s="155"/>
      <c r="BJ50" s="155"/>
      <c r="BK50" s="155"/>
      <c r="BL50" s="155"/>
      <c r="BM50" s="155"/>
      <c r="BN50" s="155"/>
    </row>
    <row r="51" s="62" customFormat="1" ht="27" customHeight="1" spans="1:66">
      <c r="A51" s="100" t="s">
        <v>76</v>
      </c>
      <c r="B51" s="101" t="s">
        <v>77</v>
      </c>
      <c r="C51" s="62" t="s">
        <v>6</v>
      </c>
      <c r="D51" s="119"/>
      <c r="E51" s="103">
        <v>44493</v>
      </c>
      <c r="F51" s="117">
        <v>44494</v>
      </c>
      <c r="G51" s="120">
        <v>3</v>
      </c>
      <c r="H51" s="121">
        <v>0</v>
      </c>
      <c r="I51" s="162">
        <v>3</v>
      </c>
      <c r="J51" s="163"/>
      <c r="K51" s="155"/>
      <c r="L51" s="155"/>
      <c r="M51" s="155"/>
      <c r="N51" s="155"/>
      <c r="O51" s="155"/>
      <c r="P51" s="155"/>
      <c r="Q51" s="155"/>
      <c r="R51" s="155"/>
      <c r="S51" s="155"/>
      <c r="T51" s="155"/>
      <c r="U51" s="155"/>
      <c r="V51" s="155"/>
      <c r="W51" s="155"/>
      <c r="X51" s="155"/>
      <c r="Y51" s="155"/>
      <c r="Z51" s="155"/>
      <c r="AA51" s="155"/>
      <c r="AB51" s="155"/>
      <c r="AC51" s="155"/>
      <c r="AD51" s="155"/>
      <c r="AE51" s="155"/>
      <c r="AF51" s="155"/>
      <c r="AG51" s="155"/>
      <c r="AH51" s="155"/>
      <c r="AI51" s="155"/>
      <c r="AJ51" s="155"/>
      <c r="AK51" s="155"/>
      <c r="AL51" s="155"/>
      <c r="AM51" s="155"/>
      <c r="AN51" s="155"/>
      <c r="AO51" s="155"/>
      <c r="AP51" s="155"/>
      <c r="AQ51" s="155"/>
      <c r="AR51" s="155"/>
      <c r="AS51" s="155"/>
      <c r="AT51" s="155"/>
      <c r="AU51" s="155"/>
      <c r="AV51" s="155"/>
      <c r="AW51" s="155"/>
      <c r="AX51" s="155"/>
      <c r="AY51" s="155"/>
      <c r="AZ51" s="155"/>
      <c r="BA51" s="155"/>
      <c r="BB51" s="155"/>
      <c r="BC51" s="155"/>
      <c r="BD51" s="155"/>
      <c r="BE51" s="155"/>
      <c r="BF51" s="155"/>
      <c r="BG51" s="155"/>
      <c r="BH51" s="155"/>
      <c r="BI51" s="155"/>
      <c r="BJ51" s="155"/>
      <c r="BK51" s="155"/>
      <c r="BL51" s="155"/>
      <c r="BM51" s="155"/>
      <c r="BN51" s="155"/>
    </row>
    <row r="52" s="62" customFormat="1" ht="27" customHeight="1" spans="1:66">
      <c r="A52" s="100">
        <v>3.3</v>
      </c>
      <c r="B52" s="101" t="s">
        <v>78</v>
      </c>
      <c r="C52" s="62" t="s">
        <v>6</v>
      </c>
      <c r="D52" s="119"/>
      <c r="E52" s="103">
        <v>44494</v>
      </c>
      <c r="F52" s="117">
        <v>44495</v>
      </c>
      <c r="G52" s="120">
        <v>2</v>
      </c>
      <c r="H52" s="121">
        <v>0</v>
      </c>
      <c r="I52" s="162">
        <v>1</v>
      </c>
      <c r="J52" s="163"/>
      <c r="K52" s="155"/>
      <c r="L52" s="155"/>
      <c r="M52" s="155"/>
      <c r="N52" s="155"/>
      <c r="O52" s="155"/>
      <c r="P52" s="155"/>
      <c r="Q52" s="155"/>
      <c r="R52" s="155"/>
      <c r="S52" s="155"/>
      <c r="T52" s="155"/>
      <c r="U52" s="155"/>
      <c r="V52" s="155"/>
      <c r="W52" s="155"/>
      <c r="X52" s="155"/>
      <c r="Y52" s="155"/>
      <c r="Z52" s="155"/>
      <c r="AA52" s="155"/>
      <c r="AB52" s="155"/>
      <c r="AC52" s="155"/>
      <c r="AD52" s="155"/>
      <c r="AE52" s="155"/>
      <c r="AF52" s="155"/>
      <c r="AG52" s="155"/>
      <c r="AH52" s="155"/>
      <c r="AI52" s="155"/>
      <c r="AJ52" s="155"/>
      <c r="AK52" s="155"/>
      <c r="AL52" s="155"/>
      <c r="AM52" s="155"/>
      <c r="AN52" s="155"/>
      <c r="AO52" s="155"/>
      <c r="AP52" s="155"/>
      <c r="AQ52" s="155"/>
      <c r="AR52" s="155"/>
      <c r="AS52" s="155"/>
      <c r="AT52" s="155"/>
      <c r="AU52" s="155"/>
      <c r="AV52" s="155"/>
      <c r="AW52" s="155"/>
      <c r="AX52" s="155"/>
      <c r="AY52" s="155"/>
      <c r="AZ52" s="155"/>
      <c r="BA52" s="155"/>
      <c r="BB52" s="155"/>
      <c r="BC52" s="155"/>
      <c r="BD52" s="155"/>
      <c r="BE52" s="155"/>
      <c r="BF52" s="155"/>
      <c r="BG52" s="155"/>
      <c r="BH52" s="155"/>
      <c r="BI52" s="155"/>
      <c r="BJ52" s="155"/>
      <c r="BK52" s="155"/>
      <c r="BL52" s="155"/>
      <c r="BM52" s="155"/>
      <c r="BN52" s="155"/>
    </row>
    <row r="53" s="62" customFormat="1" ht="27" customHeight="1" spans="1:66">
      <c r="A53" s="100" t="s">
        <v>79</v>
      </c>
      <c r="B53" s="101" t="s">
        <v>80</v>
      </c>
      <c r="C53" s="62" t="s">
        <v>6</v>
      </c>
      <c r="D53" s="119"/>
      <c r="E53" s="103">
        <v>44495</v>
      </c>
      <c r="F53" s="117">
        <v>44496</v>
      </c>
      <c r="G53" s="120">
        <v>1</v>
      </c>
      <c r="H53" s="121">
        <v>0</v>
      </c>
      <c r="I53" s="162">
        <v>1</v>
      </c>
      <c r="J53" s="163"/>
      <c r="K53" s="155"/>
      <c r="L53" s="155"/>
      <c r="M53" s="155"/>
      <c r="N53" s="155"/>
      <c r="O53" s="155"/>
      <c r="P53" s="155"/>
      <c r="Q53" s="155"/>
      <c r="R53" s="155"/>
      <c r="S53" s="155"/>
      <c r="T53" s="155"/>
      <c r="U53" s="155"/>
      <c r="V53" s="155"/>
      <c r="W53" s="155"/>
      <c r="X53" s="155"/>
      <c r="Y53" s="155"/>
      <c r="Z53" s="155"/>
      <c r="AA53" s="155"/>
      <c r="AB53" s="155"/>
      <c r="AC53" s="155"/>
      <c r="AD53" s="155"/>
      <c r="AE53" s="155"/>
      <c r="AF53" s="155"/>
      <c r="AG53" s="155"/>
      <c r="AH53" s="155"/>
      <c r="AI53" s="155"/>
      <c r="AJ53" s="155"/>
      <c r="AK53" s="155"/>
      <c r="AL53" s="155"/>
      <c r="AM53" s="155"/>
      <c r="AN53" s="155"/>
      <c r="AO53" s="155"/>
      <c r="AP53" s="155"/>
      <c r="AQ53" s="155"/>
      <c r="AR53" s="155"/>
      <c r="AS53" s="155"/>
      <c r="AT53" s="155"/>
      <c r="AU53" s="155"/>
      <c r="AV53" s="155"/>
      <c r="AW53" s="155"/>
      <c r="AX53" s="155"/>
      <c r="AY53" s="155"/>
      <c r="AZ53" s="155"/>
      <c r="BA53" s="155"/>
      <c r="BB53" s="155"/>
      <c r="BC53" s="155"/>
      <c r="BD53" s="155"/>
      <c r="BE53" s="155"/>
      <c r="BF53" s="155"/>
      <c r="BG53" s="155"/>
      <c r="BH53" s="155"/>
      <c r="BI53" s="155"/>
      <c r="BJ53" s="155"/>
      <c r="BK53" s="155"/>
      <c r="BL53" s="155"/>
      <c r="BM53" s="155"/>
      <c r="BN53" s="155"/>
    </row>
    <row r="54" s="62" customFormat="1" ht="27" customHeight="1" spans="1:66">
      <c r="A54" s="100" t="s">
        <v>81</v>
      </c>
      <c r="B54" s="101" t="s">
        <v>82</v>
      </c>
      <c r="C54" s="62" t="s">
        <v>6</v>
      </c>
      <c r="D54" s="119"/>
      <c r="E54" s="103">
        <v>44496</v>
      </c>
      <c r="F54" s="117">
        <v>44497</v>
      </c>
      <c r="G54" s="120">
        <v>1</v>
      </c>
      <c r="H54" s="121">
        <v>0</v>
      </c>
      <c r="I54" s="162">
        <v>1</v>
      </c>
      <c r="J54" s="163"/>
      <c r="K54" s="155"/>
      <c r="L54" s="155"/>
      <c r="M54" s="155"/>
      <c r="N54" s="155"/>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c r="AL54" s="155"/>
      <c r="AM54" s="155"/>
      <c r="AN54" s="155"/>
      <c r="AO54" s="155"/>
      <c r="AP54" s="155"/>
      <c r="AQ54" s="155"/>
      <c r="AR54" s="155"/>
      <c r="AS54" s="155"/>
      <c r="AT54" s="155"/>
      <c r="AU54" s="155"/>
      <c r="AV54" s="155"/>
      <c r="AW54" s="155"/>
      <c r="AX54" s="155"/>
      <c r="AY54" s="155"/>
      <c r="AZ54" s="155"/>
      <c r="BA54" s="155"/>
      <c r="BB54" s="155"/>
      <c r="BC54" s="155"/>
      <c r="BD54" s="155"/>
      <c r="BE54" s="155"/>
      <c r="BF54" s="155"/>
      <c r="BG54" s="155"/>
      <c r="BH54" s="155"/>
      <c r="BI54" s="155"/>
      <c r="BJ54" s="155"/>
      <c r="BK54" s="155"/>
      <c r="BL54" s="155"/>
      <c r="BM54" s="155"/>
      <c r="BN54" s="155"/>
    </row>
    <row r="55" s="62" customFormat="1" ht="27" customHeight="1" spans="1:66">
      <c r="A55" s="100" t="s">
        <v>83</v>
      </c>
      <c r="B55" s="101" t="s">
        <v>84</v>
      </c>
      <c r="C55" s="62" t="s">
        <v>6</v>
      </c>
      <c r="D55" s="119"/>
      <c r="E55" s="103">
        <v>44497</v>
      </c>
      <c r="F55" s="117">
        <v>44498</v>
      </c>
      <c r="G55" s="120">
        <v>1</v>
      </c>
      <c r="H55" s="121">
        <v>0</v>
      </c>
      <c r="I55" s="162">
        <v>1</v>
      </c>
      <c r="J55" s="163"/>
      <c r="K55" s="155"/>
      <c r="L55" s="155"/>
      <c r="M55" s="155"/>
      <c r="N55" s="155"/>
      <c r="O55" s="155"/>
      <c r="P55" s="155"/>
      <c r="Q55" s="155"/>
      <c r="R55" s="155"/>
      <c r="S55" s="155"/>
      <c r="T55" s="155"/>
      <c r="U55" s="155"/>
      <c r="V55" s="155"/>
      <c r="W55" s="155"/>
      <c r="X55" s="155"/>
      <c r="Y55" s="155"/>
      <c r="Z55" s="155"/>
      <c r="AA55" s="155"/>
      <c r="AB55" s="155"/>
      <c r="AC55" s="155"/>
      <c r="AD55" s="155"/>
      <c r="AE55" s="155"/>
      <c r="AF55" s="155"/>
      <c r="AG55" s="155"/>
      <c r="AH55" s="155"/>
      <c r="AI55" s="155"/>
      <c r="AJ55" s="155"/>
      <c r="AK55" s="155"/>
      <c r="AL55" s="155"/>
      <c r="AM55" s="155"/>
      <c r="AN55" s="155"/>
      <c r="AO55" s="155"/>
      <c r="AP55" s="155"/>
      <c r="AQ55" s="155"/>
      <c r="AR55" s="155"/>
      <c r="AS55" s="155"/>
      <c r="AT55" s="155"/>
      <c r="AU55" s="155"/>
      <c r="AV55" s="155"/>
      <c r="AW55" s="155"/>
      <c r="AX55" s="155"/>
      <c r="AY55" s="155"/>
      <c r="AZ55" s="155"/>
      <c r="BA55" s="155"/>
      <c r="BB55" s="155"/>
      <c r="BC55" s="155"/>
      <c r="BD55" s="155"/>
      <c r="BE55" s="155"/>
      <c r="BF55" s="155"/>
      <c r="BG55" s="155"/>
      <c r="BH55" s="155"/>
      <c r="BI55" s="155"/>
      <c r="BJ55" s="155"/>
      <c r="BK55" s="155"/>
      <c r="BL55" s="155"/>
      <c r="BM55" s="155"/>
      <c r="BN55" s="155"/>
    </row>
    <row r="56" s="62" customFormat="1" ht="27" customHeight="1" spans="1:66">
      <c r="A56" s="100" t="s">
        <v>85</v>
      </c>
      <c r="B56" s="101" t="s">
        <v>86</v>
      </c>
      <c r="C56" s="62" t="s">
        <v>6</v>
      </c>
      <c r="D56" s="119"/>
      <c r="E56" s="103">
        <v>44498</v>
      </c>
      <c r="F56" s="117">
        <v>44499</v>
      </c>
      <c r="G56" s="120">
        <v>1</v>
      </c>
      <c r="H56" s="121">
        <v>0</v>
      </c>
      <c r="I56" s="162">
        <v>1</v>
      </c>
      <c r="J56" s="163"/>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c r="AU56" s="155"/>
      <c r="AV56" s="155"/>
      <c r="AW56" s="155"/>
      <c r="AX56" s="155"/>
      <c r="AY56" s="155"/>
      <c r="AZ56" s="155"/>
      <c r="BA56" s="155"/>
      <c r="BB56" s="155"/>
      <c r="BC56" s="155"/>
      <c r="BD56" s="155"/>
      <c r="BE56" s="155"/>
      <c r="BF56" s="155"/>
      <c r="BG56" s="155"/>
      <c r="BH56" s="155"/>
      <c r="BI56" s="155"/>
      <c r="BJ56" s="155"/>
      <c r="BK56" s="155"/>
      <c r="BL56" s="155"/>
      <c r="BM56" s="155"/>
      <c r="BN56" s="155"/>
    </row>
    <row r="57" s="61" customFormat="1" ht="17.4" spans="1:66">
      <c r="A57" s="111">
        <v>4</v>
      </c>
      <c r="B57" s="112" t="s">
        <v>87</v>
      </c>
      <c r="D57" s="113"/>
      <c r="E57" s="114"/>
      <c r="F57" s="114" t="str">
        <f>IF(ISBLANK(E57)," - ",IF(G57=0,E57,E57+G57-1))</f>
        <v> - </v>
      </c>
      <c r="G57" s="115"/>
      <c r="H57" s="116"/>
      <c r="I57" s="159" t="str">
        <f>IF(OR(F57=0,E57=0)," - ",NETWORKDAYS(E57,F57))</f>
        <v> - </v>
      </c>
      <c r="J57" s="160"/>
      <c r="K57" s="161"/>
      <c r="L57" s="161"/>
      <c r="M57" s="161"/>
      <c r="N57" s="161"/>
      <c r="O57" s="161"/>
      <c r="P57" s="161"/>
      <c r="Q57" s="161"/>
      <c r="R57" s="161"/>
      <c r="S57" s="161"/>
      <c r="T57" s="161"/>
      <c r="U57" s="161"/>
      <c r="V57" s="161"/>
      <c r="W57" s="161"/>
      <c r="X57" s="161"/>
      <c r="Y57" s="161"/>
      <c r="Z57" s="161"/>
      <c r="AA57" s="161"/>
      <c r="AB57" s="161"/>
      <c r="AC57" s="161"/>
      <c r="AD57" s="161"/>
      <c r="AE57" s="161"/>
      <c r="AF57" s="161"/>
      <c r="AG57" s="161"/>
      <c r="AH57" s="161"/>
      <c r="AI57" s="161"/>
      <c r="AJ57" s="161"/>
      <c r="AK57" s="161"/>
      <c r="AL57" s="161"/>
      <c r="AM57" s="161"/>
      <c r="AN57" s="161"/>
      <c r="AO57" s="161"/>
      <c r="AP57" s="161"/>
      <c r="AQ57" s="161"/>
      <c r="AR57" s="161"/>
      <c r="AS57" s="161"/>
      <c r="AT57" s="161"/>
      <c r="AU57" s="161"/>
      <c r="AV57" s="161"/>
      <c r="AW57" s="161"/>
      <c r="AX57" s="161"/>
      <c r="AY57" s="161"/>
      <c r="AZ57" s="161"/>
      <c r="BA57" s="161"/>
      <c r="BB57" s="161"/>
      <c r="BC57" s="161"/>
      <c r="BD57" s="161"/>
      <c r="BE57" s="161"/>
      <c r="BF57" s="161"/>
      <c r="BG57" s="161"/>
      <c r="BH57" s="161"/>
      <c r="BI57" s="161"/>
      <c r="BJ57" s="161"/>
      <c r="BK57" s="161"/>
      <c r="BL57" s="161"/>
      <c r="BM57" s="161"/>
      <c r="BN57" s="161"/>
    </row>
    <row r="58" s="62" customFormat="1" ht="17.4" spans="1:66">
      <c r="A58" s="10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58" s="101" t="s">
        <v>88</v>
      </c>
      <c r="D58" s="102"/>
      <c r="E58" s="103">
        <v>44505</v>
      </c>
      <c r="F58" s="104">
        <f>IF(ISBLANK(E58)," - ",IF(G58=0,E58,E58+G58-1))</f>
        <v>44508</v>
      </c>
      <c r="G58" s="105">
        <v>4</v>
      </c>
      <c r="H58" s="106">
        <v>0</v>
      </c>
      <c r="I58" s="153">
        <v>2</v>
      </c>
      <c r="J58" s="154"/>
      <c r="K58" s="155"/>
      <c r="L58" s="155"/>
      <c r="M58" s="155"/>
      <c r="N58" s="155"/>
      <c r="O58" s="155"/>
      <c r="P58" s="155"/>
      <c r="Q58" s="155"/>
      <c r="R58" s="155"/>
      <c r="S58" s="155"/>
      <c r="T58" s="155"/>
      <c r="U58" s="155"/>
      <c r="V58" s="155"/>
      <c r="W58" s="155"/>
      <c r="X58" s="155"/>
      <c r="Y58" s="155"/>
      <c r="Z58" s="155"/>
      <c r="AA58" s="155"/>
      <c r="AB58" s="155"/>
      <c r="AC58" s="155"/>
      <c r="AD58" s="155"/>
      <c r="AE58" s="155"/>
      <c r="AF58" s="155"/>
      <c r="AG58" s="155"/>
      <c r="AH58" s="155"/>
      <c r="AI58" s="155"/>
      <c r="AJ58" s="155"/>
      <c r="AK58" s="155"/>
      <c r="AL58" s="155"/>
      <c r="AM58" s="155"/>
      <c r="AN58" s="155"/>
      <c r="AO58" s="155"/>
      <c r="AP58" s="155"/>
      <c r="AQ58" s="155"/>
      <c r="AR58" s="155"/>
      <c r="AS58" s="155"/>
      <c r="AT58" s="155"/>
      <c r="AU58" s="155"/>
      <c r="AV58" s="155"/>
      <c r="AW58" s="155"/>
      <c r="AX58" s="155"/>
      <c r="AY58" s="155"/>
      <c r="AZ58" s="155"/>
      <c r="BA58" s="155"/>
      <c r="BB58" s="155"/>
      <c r="BC58" s="155"/>
      <c r="BD58" s="155"/>
      <c r="BE58" s="155"/>
      <c r="BF58" s="155"/>
      <c r="BG58" s="155"/>
      <c r="BH58" s="155"/>
      <c r="BI58" s="155"/>
      <c r="BJ58" s="155"/>
      <c r="BK58" s="155"/>
      <c r="BL58" s="155"/>
      <c r="BM58" s="155"/>
      <c r="BN58" s="155"/>
    </row>
    <row r="59" s="62" customFormat="1" ht="31" customHeight="1" spans="1:66">
      <c r="A59" s="10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59" s="101" t="s">
        <v>89</v>
      </c>
      <c r="D59" s="102"/>
      <c r="E59" s="103">
        <v>44509</v>
      </c>
      <c r="F59" s="104">
        <f>IF(ISBLANK(E59)," - ",IF(G59=0,E59,E59+G59-1))</f>
        <v>44510</v>
      </c>
      <c r="G59" s="105">
        <v>2</v>
      </c>
      <c r="H59" s="106">
        <v>0</v>
      </c>
      <c r="I59" s="153">
        <f>IF(OR(F59=0,E59=0)," - ",NETWORKDAYS(E59,F59))</f>
        <v>2</v>
      </c>
      <c r="J59" s="154"/>
      <c r="K59" s="155"/>
      <c r="L59" s="155"/>
      <c r="M59" s="155"/>
      <c r="N59" s="155"/>
      <c r="O59" s="155"/>
      <c r="P59" s="155"/>
      <c r="Q59" s="155"/>
      <c r="R59" s="155"/>
      <c r="S59" s="155"/>
      <c r="T59" s="155"/>
      <c r="U59" s="155"/>
      <c r="V59" s="155"/>
      <c r="W59" s="155"/>
      <c r="X59" s="155"/>
      <c r="Y59" s="155"/>
      <c r="Z59" s="155"/>
      <c r="AA59" s="155"/>
      <c r="AB59" s="155"/>
      <c r="AC59" s="155"/>
      <c r="AD59" s="155"/>
      <c r="AE59" s="155"/>
      <c r="AF59" s="155"/>
      <c r="AG59" s="155"/>
      <c r="AH59" s="155"/>
      <c r="AI59" s="155"/>
      <c r="AJ59" s="155"/>
      <c r="AK59" s="155"/>
      <c r="AL59" s="155"/>
      <c r="AM59" s="155"/>
      <c r="AN59" s="155"/>
      <c r="AO59" s="155"/>
      <c r="AP59" s="155"/>
      <c r="AQ59" s="155"/>
      <c r="AR59" s="155"/>
      <c r="AS59" s="155"/>
      <c r="AT59" s="155"/>
      <c r="AU59" s="155"/>
      <c r="AV59" s="155"/>
      <c r="AW59" s="155"/>
      <c r="AX59" s="155"/>
      <c r="AY59" s="155"/>
      <c r="AZ59" s="155"/>
      <c r="BA59" s="155"/>
      <c r="BB59" s="155"/>
      <c r="BC59" s="155"/>
      <c r="BD59" s="155"/>
      <c r="BE59" s="155"/>
      <c r="BF59" s="155"/>
      <c r="BG59" s="155"/>
      <c r="BH59" s="155"/>
      <c r="BI59" s="155"/>
      <c r="BJ59" s="155"/>
      <c r="BK59" s="155"/>
      <c r="BL59" s="155"/>
      <c r="BM59" s="155"/>
      <c r="BN59" s="155"/>
    </row>
    <row r="60" s="63" customFormat="1" ht="17.4" spans="1:66">
      <c r="A60" s="100"/>
      <c r="B60" s="122"/>
      <c r="C60" s="122"/>
      <c r="D60" s="123"/>
      <c r="E60" s="124"/>
      <c r="F60" s="124"/>
      <c r="G60" s="125"/>
      <c r="H60" s="126"/>
      <c r="I60" s="164" t="str">
        <f>IF(OR(F60=0,E60=0)," - ",NETWORKDAYS(E60,F60))</f>
        <v> - </v>
      </c>
      <c r="J60" s="165"/>
      <c r="K60" s="155"/>
      <c r="L60" s="155"/>
      <c r="M60" s="155"/>
      <c r="N60" s="155"/>
      <c r="O60" s="155"/>
      <c r="P60" s="155"/>
      <c r="Q60" s="155"/>
      <c r="R60" s="155"/>
      <c r="S60" s="155"/>
      <c r="T60" s="155"/>
      <c r="U60" s="155"/>
      <c r="V60" s="155"/>
      <c r="W60" s="155"/>
      <c r="X60" s="155"/>
      <c r="Y60" s="155"/>
      <c r="Z60" s="155"/>
      <c r="AA60" s="155"/>
      <c r="AB60" s="155"/>
      <c r="AC60" s="155"/>
      <c r="AD60" s="155"/>
      <c r="AE60" s="155"/>
      <c r="AF60" s="155"/>
      <c r="AG60" s="155"/>
      <c r="AH60" s="155"/>
      <c r="AI60" s="155"/>
      <c r="AJ60" s="155"/>
      <c r="AK60" s="155"/>
      <c r="AL60" s="155"/>
      <c r="AM60" s="155"/>
      <c r="AN60" s="155"/>
      <c r="AO60" s="155"/>
      <c r="AP60" s="155"/>
      <c r="AQ60" s="155"/>
      <c r="AR60" s="155"/>
      <c r="AS60" s="155"/>
      <c r="AT60" s="155"/>
      <c r="AU60" s="155"/>
      <c r="AV60" s="155"/>
      <c r="AW60" s="155"/>
      <c r="AX60" s="155"/>
      <c r="AY60" s="155"/>
      <c r="AZ60" s="155"/>
      <c r="BA60" s="155"/>
      <c r="BB60" s="155"/>
      <c r="BC60" s="155"/>
      <c r="BD60" s="155"/>
      <c r="BE60" s="155"/>
      <c r="BF60" s="155"/>
      <c r="BG60" s="155"/>
      <c r="BH60" s="155"/>
      <c r="BI60" s="155"/>
      <c r="BJ60" s="155"/>
      <c r="BK60" s="155"/>
      <c r="BL60" s="155"/>
      <c r="BM60" s="155"/>
      <c r="BN60" s="155"/>
    </row>
    <row r="61" s="63" customFormat="1" ht="17.4" spans="1:66">
      <c r="A61" s="100"/>
      <c r="B61" s="122"/>
      <c r="C61" s="122"/>
      <c r="D61" s="123"/>
      <c r="E61" s="124"/>
      <c r="F61" s="124"/>
      <c r="G61" s="125"/>
      <c r="H61" s="126"/>
      <c r="I61" s="164" t="str">
        <f>IF(OR(F61=0,E61=0)," - ",NETWORKDAYS(E61,F61))</f>
        <v> - </v>
      </c>
      <c r="J61" s="165"/>
      <c r="K61" s="155"/>
      <c r="L61" s="155"/>
      <c r="M61" s="155"/>
      <c r="N61" s="155"/>
      <c r="O61" s="155"/>
      <c r="P61" s="155"/>
      <c r="Q61" s="155"/>
      <c r="R61" s="155"/>
      <c r="S61" s="155"/>
      <c r="T61" s="155"/>
      <c r="U61" s="155"/>
      <c r="V61" s="155"/>
      <c r="W61" s="155"/>
      <c r="X61" s="155"/>
      <c r="Y61" s="155"/>
      <c r="Z61" s="155"/>
      <c r="AA61" s="155"/>
      <c r="AB61" s="155"/>
      <c r="AC61" s="155"/>
      <c r="AD61" s="155"/>
      <c r="AE61" s="155"/>
      <c r="AF61" s="155"/>
      <c r="AG61" s="155"/>
      <c r="AH61" s="155"/>
      <c r="AI61" s="155"/>
      <c r="AJ61" s="155"/>
      <c r="AK61" s="155"/>
      <c r="AL61" s="155"/>
      <c r="AM61" s="155"/>
      <c r="AN61" s="155"/>
      <c r="AO61" s="155"/>
      <c r="AP61" s="155"/>
      <c r="AQ61" s="155"/>
      <c r="AR61" s="155"/>
      <c r="AS61" s="155"/>
      <c r="AT61" s="155"/>
      <c r="AU61" s="155"/>
      <c r="AV61" s="155"/>
      <c r="AW61" s="155"/>
      <c r="AX61" s="155"/>
      <c r="AY61" s="155"/>
      <c r="AZ61" s="155"/>
      <c r="BA61" s="155"/>
      <c r="BB61" s="155"/>
      <c r="BC61" s="155"/>
      <c r="BD61" s="155"/>
      <c r="BE61" s="155"/>
      <c r="BF61" s="155"/>
      <c r="BG61" s="155"/>
      <c r="BH61" s="155"/>
      <c r="BI61" s="155"/>
      <c r="BJ61" s="155"/>
      <c r="BK61" s="155"/>
      <c r="BL61" s="155"/>
      <c r="BM61" s="155"/>
      <c r="BN61" s="155"/>
    </row>
    <row r="62" s="64" customFormat="1" ht="17.4" spans="1:66">
      <c r="A62" s="127" t="s">
        <v>90</v>
      </c>
      <c r="B62" s="128"/>
      <c r="C62" s="129"/>
      <c r="D62" s="129"/>
      <c r="E62" s="130"/>
      <c r="F62" s="130"/>
      <c r="G62" s="131"/>
      <c r="H62" s="131"/>
      <c r="I62" s="131"/>
      <c r="J62" s="166"/>
      <c r="K62" s="155"/>
      <c r="L62" s="155"/>
      <c r="M62" s="155"/>
      <c r="N62" s="155"/>
      <c r="O62" s="155"/>
      <c r="P62" s="155"/>
      <c r="Q62" s="155"/>
      <c r="R62" s="155"/>
      <c r="S62" s="155"/>
      <c r="T62" s="155"/>
      <c r="U62" s="155"/>
      <c r="V62" s="155"/>
      <c r="W62" s="155"/>
      <c r="X62" s="155"/>
      <c r="Y62" s="155"/>
      <c r="Z62" s="155"/>
      <c r="AA62" s="155"/>
      <c r="AB62" s="155"/>
      <c r="AC62" s="155"/>
      <c r="AD62" s="155"/>
      <c r="AE62" s="155"/>
      <c r="AF62" s="155"/>
      <c r="AG62" s="155"/>
      <c r="AH62" s="155"/>
      <c r="AI62" s="155"/>
      <c r="AJ62" s="155"/>
      <c r="AK62" s="155"/>
      <c r="AL62" s="155"/>
      <c r="AM62" s="155"/>
      <c r="AN62" s="155"/>
      <c r="AO62" s="155"/>
      <c r="AP62" s="155"/>
      <c r="AQ62" s="155"/>
      <c r="AR62" s="155"/>
      <c r="AS62" s="155"/>
      <c r="AT62" s="155"/>
      <c r="AU62" s="155"/>
      <c r="AV62" s="155"/>
      <c r="AW62" s="155"/>
      <c r="AX62" s="155"/>
      <c r="AY62" s="155"/>
      <c r="AZ62" s="155"/>
      <c r="BA62" s="155"/>
      <c r="BB62" s="155"/>
      <c r="BC62" s="155"/>
      <c r="BD62" s="155"/>
      <c r="BE62" s="155"/>
      <c r="BF62" s="155"/>
      <c r="BG62" s="155"/>
      <c r="BH62" s="155"/>
      <c r="BI62" s="155"/>
      <c r="BJ62" s="155"/>
      <c r="BK62" s="155"/>
      <c r="BL62" s="155"/>
      <c r="BM62" s="155"/>
      <c r="BN62" s="155"/>
    </row>
    <row r="63" s="63" customFormat="1" ht="17.4" spans="1:66">
      <c r="A63" s="132" t="s">
        <v>91</v>
      </c>
      <c r="B63" s="133"/>
      <c r="C63" s="133"/>
      <c r="D63" s="133"/>
      <c r="E63" s="134"/>
      <c r="F63" s="134"/>
      <c r="G63" s="133"/>
      <c r="H63" s="133"/>
      <c r="I63" s="133"/>
      <c r="J63" s="166"/>
      <c r="K63" s="155"/>
      <c r="L63" s="155"/>
      <c r="M63" s="155"/>
      <c r="N63" s="155"/>
      <c r="O63" s="155"/>
      <c r="P63" s="155"/>
      <c r="Q63" s="155"/>
      <c r="R63" s="155"/>
      <c r="S63" s="155"/>
      <c r="T63" s="155"/>
      <c r="U63" s="155"/>
      <c r="V63" s="155"/>
      <c r="W63" s="155"/>
      <c r="X63" s="155"/>
      <c r="Y63" s="155"/>
      <c r="Z63" s="155"/>
      <c r="AA63" s="155"/>
      <c r="AB63" s="155"/>
      <c r="AC63" s="155"/>
      <c r="AD63" s="155"/>
      <c r="AE63" s="155"/>
      <c r="AF63" s="155"/>
      <c r="AG63" s="155"/>
      <c r="AH63" s="155"/>
      <c r="AI63" s="155"/>
      <c r="AJ63" s="155"/>
      <c r="AK63" s="155"/>
      <c r="AL63" s="155"/>
      <c r="AM63" s="155"/>
      <c r="AN63" s="155"/>
      <c r="AO63" s="155"/>
      <c r="AP63" s="155"/>
      <c r="AQ63" s="155"/>
      <c r="AR63" s="155"/>
      <c r="AS63" s="155"/>
      <c r="AT63" s="155"/>
      <c r="AU63" s="155"/>
      <c r="AV63" s="155"/>
      <c r="AW63" s="155"/>
      <c r="AX63" s="155"/>
      <c r="AY63" s="155"/>
      <c r="AZ63" s="155"/>
      <c r="BA63" s="155"/>
      <c r="BB63" s="155"/>
      <c r="BC63" s="155"/>
      <c r="BD63" s="155"/>
      <c r="BE63" s="155"/>
      <c r="BF63" s="155"/>
      <c r="BG63" s="155"/>
      <c r="BH63" s="155"/>
      <c r="BI63" s="155"/>
      <c r="BJ63" s="155"/>
      <c r="BK63" s="155"/>
      <c r="BL63" s="155"/>
      <c r="BM63" s="155"/>
      <c r="BN63" s="155"/>
    </row>
    <row r="64" s="63" customFormat="1" ht="17.4" spans="1:66">
      <c r="A64" s="135" t="str">
        <f>IF(ISERROR(VALUE(SUBSTITUTE(prevWBS,".",""))),"1",IF(ISERROR(FIND("`",SUBSTITUTE(prevWBS,".","`",1))),TEXT(VALUE(prevWBS)+1,"#"),TEXT(VALUE(LEFT(prevWBS,FIND("`",SUBSTITUTE(prevWBS,".","`",1))-1))+1,"#")))</f>
        <v>1</v>
      </c>
      <c r="B64" s="136" t="s">
        <v>92</v>
      </c>
      <c r="C64" s="137"/>
      <c r="D64" s="102"/>
      <c r="E64" s="103"/>
      <c r="F64" s="104" t="str">
        <f t="shared" ref="F64:F67" si="7">IF(ISBLANK(E64)," - ",IF(G64=0,E64,E64+G64-1))</f>
        <v> - </v>
      </c>
      <c r="G64" s="105"/>
      <c r="H64" s="106"/>
      <c r="I64" s="167" t="str">
        <f>IF(OR(F64=0,E64=0)," - ",NETWORKDAYS(E64,F64))</f>
        <v> - </v>
      </c>
      <c r="J64" s="168"/>
      <c r="K64" s="155"/>
      <c r="L64" s="155"/>
      <c r="M64" s="155"/>
      <c r="N64" s="155"/>
      <c r="O64" s="155"/>
      <c r="P64" s="155"/>
      <c r="Q64" s="155"/>
      <c r="R64" s="155"/>
      <c r="S64" s="155"/>
      <c r="T64" s="155"/>
      <c r="U64" s="155"/>
      <c r="V64" s="155"/>
      <c r="W64" s="155"/>
      <c r="X64" s="155"/>
      <c r="Y64" s="155"/>
      <c r="Z64" s="155"/>
      <c r="AA64" s="155"/>
      <c r="AB64" s="155"/>
      <c r="AC64" s="155"/>
      <c r="AD64" s="155"/>
      <c r="AE64" s="155"/>
      <c r="AF64" s="155"/>
      <c r="AG64" s="155"/>
      <c r="AH64" s="155"/>
      <c r="AI64" s="155"/>
      <c r="AJ64" s="155"/>
      <c r="AK64" s="155"/>
      <c r="AL64" s="155"/>
      <c r="AM64" s="155"/>
      <c r="AN64" s="155"/>
      <c r="AO64" s="155"/>
      <c r="AP64" s="155"/>
      <c r="AQ64" s="155"/>
      <c r="AR64" s="155"/>
      <c r="AS64" s="155"/>
      <c r="AT64" s="155"/>
      <c r="AU64" s="155"/>
      <c r="AV64" s="155"/>
      <c r="AW64" s="155"/>
      <c r="AX64" s="155"/>
      <c r="AY64" s="155"/>
      <c r="AZ64" s="155"/>
      <c r="BA64" s="155"/>
      <c r="BB64" s="155"/>
      <c r="BC64" s="155"/>
      <c r="BD64" s="155"/>
      <c r="BE64" s="155"/>
      <c r="BF64" s="155"/>
      <c r="BG64" s="155"/>
      <c r="BH64" s="155"/>
      <c r="BI64" s="155"/>
      <c r="BJ64" s="155"/>
      <c r="BK64" s="155"/>
      <c r="BL64" s="155"/>
      <c r="BM64" s="155"/>
      <c r="BN64" s="155"/>
    </row>
    <row r="65" s="63" customFormat="1" ht="17.4" spans="1:66">
      <c r="A65" s="10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65" s="173" t="s">
        <v>93</v>
      </c>
      <c r="C65" s="173"/>
      <c r="D65" s="102"/>
      <c r="E65" s="103"/>
      <c r="F65" s="104" t="str">
        <f t="shared" si="7"/>
        <v> - </v>
      </c>
      <c r="G65" s="105"/>
      <c r="H65" s="106"/>
      <c r="I65" s="167" t="str">
        <f t="shared" ref="I65:I67" si="8">IF(OR(F65=0,E65=0)," - ",NETWORKDAYS(E65,F65))</f>
        <v> - </v>
      </c>
      <c r="J65" s="168"/>
      <c r="K65" s="155"/>
      <c r="L65" s="155"/>
      <c r="M65" s="155"/>
      <c r="N65" s="155"/>
      <c r="O65" s="155"/>
      <c r="P65" s="155"/>
      <c r="Q65" s="155"/>
      <c r="R65" s="155"/>
      <c r="S65" s="155"/>
      <c r="T65" s="155"/>
      <c r="U65" s="155"/>
      <c r="V65" s="155"/>
      <c r="W65" s="155"/>
      <c r="X65" s="155"/>
      <c r="Y65" s="155"/>
      <c r="Z65" s="155"/>
      <c r="AA65" s="155"/>
      <c r="AB65" s="155"/>
      <c r="AC65" s="155"/>
      <c r="AD65" s="155"/>
      <c r="AE65" s="155"/>
      <c r="AF65" s="155"/>
      <c r="AG65" s="155"/>
      <c r="AH65" s="155"/>
      <c r="AI65" s="155"/>
      <c r="AJ65" s="155"/>
      <c r="AK65" s="155"/>
      <c r="AL65" s="155"/>
      <c r="AM65" s="155"/>
      <c r="AN65" s="155"/>
      <c r="AO65" s="155"/>
      <c r="AP65" s="155"/>
      <c r="AQ65" s="155"/>
      <c r="AR65" s="155"/>
      <c r="AS65" s="155"/>
      <c r="AT65" s="155"/>
      <c r="AU65" s="155"/>
      <c r="AV65" s="155"/>
      <c r="AW65" s="155"/>
      <c r="AX65" s="155"/>
      <c r="AY65" s="155"/>
      <c r="AZ65" s="155"/>
      <c r="BA65" s="155"/>
      <c r="BB65" s="155"/>
      <c r="BC65" s="155"/>
      <c r="BD65" s="155"/>
      <c r="BE65" s="155"/>
      <c r="BF65" s="155"/>
      <c r="BG65" s="155"/>
      <c r="BH65" s="155"/>
      <c r="BI65" s="155"/>
      <c r="BJ65" s="155"/>
      <c r="BK65" s="155"/>
      <c r="BL65" s="155"/>
      <c r="BM65" s="155"/>
      <c r="BN65" s="155"/>
    </row>
    <row r="66" s="63" customFormat="1" ht="17.4" spans="1:66">
      <c r="A66" s="100"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1.1.1</v>
      </c>
      <c r="B66" s="174" t="s">
        <v>94</v>
      </c>
      <c r="C66" s="173"/>
      <c r="D66" s="102"/>
      <c r="E66" s="103"/>
      <c r="F66" s="104" t="str">
        <f t="shared" si="7"/>
        <v> - </v>
      </c>
      <c r="G66" s="105"/>
      <c r="H66" s="106"/>
      <c r="I66" s="167" t="str">
        <f t="shared" si="8"/>
        <v> - </v>
      </c>
      <c r="J66" s="168"/>
      <c r="K66" s="155"/>
      <c r="L66" s="155"/>
      <c r="M66" s="155"/>
      <c r="N66" s="155"/>
      <c r="O66" s="155"/>
      <c r="P66" s="155"/>
      <c r="Q66" s="155"/>
      <c r="R66" s="155"/>
      <c r="S66" s="155"/>
      <c r="T66" s="155"/>
      <c r="U66" s="155"/>
      <c r="V66" s="155"/>
      <c r="W66" s="155"/>
      <c r="X66" s="155"/>
      <c r="Y66" s="155"/>
      <c r="Z66" s="155"/>
      <c r="AA66" s="155"/>
      <c r="AB66" s="155"/>
      <c r="AC66" s="155"/>
      <c r="AD66" s="155"/>
      <c r="AE66" s="155"/>
      <c r="AF66" s="155"/>
      <c r="AG66" s="155"/>
      <c r="AH66" s="155"/>
      <c r="AI66" s="155"/>
      <c r="AJ66" s="155"/>
      <c r="AK66" s="155"/>
      <c r="AL66" s="155"/>
      <c r="AM66" s="155"/>
      <c r="AN66" s="155"/>
      <c r="AO66" s="155"/>
      <c r="AP66" s="155"/>
      <c r="AQ66" s="155"/>
      <c r="AR66" s="155"/>
      <c r="AS66" s="155"/>
      <c r="AT66" s="155"/>
      <c r="AU66" s="155"/>
      <c r="AV66" s="155"/>
      <c r="AW66" s="155"/>
      <c r="AX66" s="155"/>
      <c r="AY66" s="155"/>
      <c r="AZ66" s="155"/>
      <c r="BA66" s="155"/>
      <c r="BB66" s="155"/>
      <c r="BC66" s="155"/>
      <c r="BD66" s="155"/>
      <c r="BE66" s="155"/>
      <c r="BF66" s="155"/>
      <c r="BG66" s="155"/>
      <c r="BH66" s="155"/>
      <c r="BI66" s="155"/>
      <c r="BJ66" s="155"/>
      <c r="BK66" s="155"/>
      <c r="BL66" s="155"/>
      <c r="BM66" s="155"/>
      <c r="BN66" s="155"/>
    </row>
    <row r="67" s="63" customFormat="1" ht="17.4" spans="1:66">
      <c r="A67" s="100"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1.1.1.1</v>
      </c>
      <c r="B67" s="174" t="s">
        <v>95</v>
      </c>
      <c r="C67" s="173"/>
      <c r="D67" s="102"/>
      <c r="E67" s="103"/>
      <c r="F67" s="104" t="str">
        <f t="shared" si="7"/>
        <v> - </v>
      </c>
      <c r="G67" s="105"/>
      <c r="H67" s="106"/>
      <c r="I67" s="167" t="str">
        <f t="shared" si="8"/>
        <v> - </v>
      </c>
      <c r="J67" s="168"/>
      <c r="K67" s="155"/>
      <c r="L67" s="155"/>
      <c r="M67" s="155"/>
      <c r="N67" s="155"/>
      <c r="O67" s="155"/>
      <c r="P67" s="155"/>
      <c r="Q67" s="155"/>
      <c r="R67" s="155"/>
      <c r="S67" s="155"/>
      <c r="T67" s="155"/>
      <c r="U67" s="155"/>
      <c r="V67" s="155"/>
      <c r="W67" s="155"/>
      <c r="X67" s="155"/>
      <c r="Y67" s="155"/>
      <c r="Z67" s="155"/>
      <c r="AA67" s="155"/>
      <c r="AB67" s="155"/>
      <c r="AC67" s="155"/>
      <c r="AD67" s="155"/>
      <c r="AE67" s="155"/>
      <c r="AF67" s="155"/>
      <c r="AG67" s="155"/>
      <c r="AH67" s="155"/>
      <c r="AI67" s="155"/>
      <c r="AJ67" s="155"/>
      <c r="AK67" s="155"/>
      <c r="AL67" s="155"/>
      <c r="AM67" s="155"/>
      <c r="AN67" s="155"/>
      <c r="AO67" s="155"/>
      <c r="AP67" s="155"/>
      <c r="AQ67" s="155"/>
      <c r="AR67" s="155"/>
      <c r="AS67" s="155"/>
      <c r="AT67" s="155"/>
      <c r="AU67" s="155"/>
      <c r="AV67" s="155"/>
      <c r="AW67" s="155"/>
      <c r="AX67" s="155"/>
      <c r="AY67" s="155"/>
      <c r="AZ67" s="155"/>
      <c r="BA67" s="155"/>
      <c r="BB67" s="155"/>
      <c r="BC67" s="155"/>
      <c r="BD67" s="155"/>
      <c r="BE67" s="155"/>
      <c r="BF67" s="155"/>
      <c r="BG67" s="155"/>
      <c r="BH67" s="155"/>
      <c r="BI67" s="155"/>
      <c r="BJ67" s="155"/>
      <c r="BK67" s="155"/>
      <c r="BL67" s="155"/>
      <c r="BM67" s="155"/>
      <c r="BN67" s="155"/>
    </row>
    <row r="68" s="65" customFormat="1" spans="1:66">
      <c r="A68" s="175" t="str">
        <f>HYPERLINK("https://vertex42.link/HowToCreateAGanttChart","► Watch How to Create a Gantt Chart in Excel")</f>
        <v>► Watch How to Create a Gantt Chart in Excel</v>
      </c>
      <c r="B68" s="176"/>
      <c r="C68" s="176"/>
      <c r="D68" s="177"/>
      <c r="E68" s="176"/>
      <c r="F68" s="176"/>
      <c r="G68" s="176"/>
      <c r="H68" s="176"/>
      <c r="I68" s="176"/>
      <c r="J68" s="176"/>
      <c r="K68" s="176"/>
      <c r="L68" s="176"/>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6"/>
      <c r="BA68" s="176"/>
      <c r="BB68" s="176"/>
      <c r="BC68" s="176"/>
      <c r="BD68" s="176"/>
      <c r="BE68" s="176"/>
      <c r="BF68" s="176"/>
      <c r="BG68" s="176"/>
      <c r="BH68" s="176"/>
      <c r="BI68" s="176"/>
      <c r="BJ68" s="176"/>
      <c r="BK68" s="176"/>
      <c r="BL68" s="176"/>
      <c r="BM68" s="176"/>
      <c r="BN68" s="176"/>
    </row>
  </sheetData>
  <sheetProtection formatCells="0" formatColumns="0" formatRows="0" insertRows="0" deleteRows="0"/>
  <mergeCells count="19">
    <mergeCell ref="K1:AE1"/>
    <mergeCell ref="C4:E4"/>
    <mergeCell ref="K4:Q4"/>
    <mergeCell ref="R4:X4"/>
    <mergeCell ref="Y4:AE4"/>
    <mergeCell ref="AF4:AL4"/>
    <mergeCell ref="AM4:AS4"/>
    <mergeCell ref="AT4:AZ4"/>
    <mergeCell ref="BA4:BG4"/>
    <mergeCell ref="BH4:BN4"/>
    <mergeCell ref="C5:E5"/>
    <mergeCell ref="K5:Q5"/>
    <mergeCell ref="R5:X5"/>
    <mergeCell ref="Y5:AE5"/>
    <mergeCell ref="AF5:AL5"/>
    <mergeCell ref="AM5:AS5"/>
    <mergeCell ref="AT5:AZ5"/>
    <mergeCell ref="BA5:BG5"/>
    <mergeCell ref="BH5:BN5"/>
  </mergeCells>
  <conditionalFormatting sqref="H8:H67">
    <cfRule type="dataBar" priority="2">
      <dataBar>
        <cfvo type="num" val="0"/>
        <cfvo type="num" val="1"/>
        <color theme="0" tint="-0.349986266670736"/>
      </dataBar>
      <extLst>
        <ext xmlns:x14="http://schemas.microsoft.com/office/spreadsheetml/2009/9/main" uri="{B025F937-C7B1-47D3-B67F-A62EFF666E3E}">
          <x14:id>{1b895bf7-4ce2-40e2-9fc5-b31ee75d32a8}</x14:id>
        </ext>
      </extLst>
    </cfRule>
  </conditionalFormatting>
  <conditionalFormatting sqref="K6:BN7">
    <cfRule type="expression" dxfId="0" priority="45">
      <formula>K$6=TODAY()</formula>
    </cfRule>
  </conditionalFormatting>
  <conditionalFormatting sqref="K6:BN67">
    <cfRule type="expression" dxfId="1" priority="8">
      <formula>K$6=TODAY()</formula>
    </cfRule>
  </conditionalFormatting>
  <conditionalFormatting sqref="K8:BN67">
    <cfRule type="expression" dxfId="2" priority="48">
      <formula>AND($E8&lt;=K$6,ROUNDDOWN(($F8-$E8+1)*$H8,0)+$E8-1&gt;=K$6)</formula>
    </cfRule>
    <cfRule type="expression" dxfId="3" priority="49">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hyperlinks>
    <hyperlink ref="K1:AE1" r:id="rId5" display="Gantt Chart Template © 2006-2018 by Vertex42.com."/>
  </hyperlinks>
  <pageMargins left="0.25" right="0.25" top="0.5" bottom="0.5" header="0.5" footer="0.25"/>
  <pageSetup paperSize="1" scale="63" fitToHeight="0" orientation="landscape"/>
  <headerFooter alignWithMargins="0"/>
  <ignoredErrors>
    <ignoredError sqref="A26 A38" formula="1"/>
    <ignoredError sqref="H39:H42 H29 H28 G64 G65:G66 G67 H30 G57:H57 H58 H59 G38:H38 G26:H26 G15 E60:H63 E57 E38 E26 B62 A63:B63 G14:H14 H13 A60:B61 H9"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name="Scroll Bar 46" r:id="rId4">
              <controlPr print="0" defaultSize="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b895bf7-4ce2-40e2-9fc5-b31ee75d32a8}">
            <x14:dataBar minLength="0" maxLength="100" gradient="0">
              <x14:cfvo type="num">
                <xm:f>0</xm:f>
              </x14:cfvo>
              <x14:cfvo type="num">
                <xm:f>1</xm:f>
              </x14:cfvo>
              <x14:negativeFillColor rgb="FFFF0000"/>
              <x14:axisColor rgb="FF000000"/>
            </x14:dataBar>
          </x14:cfRule>
          <xm:sqref>H8:H67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46"/>
  <sheetViews>
    <sheetView showGridLines="0" workbookViewId="0">
      <selection activeCell="A2" sqref="A2"/>
    </sheetView>
  </sheetViews>
  <sheetFormatPr defaultColWidth="9" defaultRowHeight="13.2" outlineLevelCol="2"/>
  <cols>
    <col min="1" max="1" width="5.57407407407407" customWidth="1"/>
    <col min="2" max="2" width="37.712962962963" customWidth="1"/>
    <col min="3" max="3" width="55.1388888888889" customWidth="1"/>
    <col min="4" max="7" width="8.85185185185185"/>
  </cols>
  <sheetData>
    <row r="1" ht="30" customHeight="1" spans="1:1">
      <c r="A1" s="54" t="s">
        <v>96</v>
      </c>
    </row>
    <row r="4" spans="3:3">
      <c r="C4" s="55" t="s">
        <v>97</v>
      </c>
    </row>
    <row r="5" spans="3:3">
      <c r="C5" s="1" t="s">
        <v>98</v>
      </c>
    </row>
    <row r="6" spans="3:3">
      <c r="C6" s="1"/>
    </row>
    <row r="7" ht="17.4" spans="3:3">
      <c r="C7" s="56" t="s">
        <v>99</v>
      </c>
    </row>
    <row r="8" spans="3:3">
      <c r="C8" s="57" t="s">
        <v>100</v>
      </c>
    </row>
    <row r="10" spans="3:3">
      <c r="C10" s="1" t="s">
        <v>101</v>
      </c>
    </row>
    <row r="11" spans="3:3">
      <c r="C11" s="1" t="s">
        <v>102</v>
      </c>
    </row>
    <row r="13" ht="17.4" spans="3:3">
      <c r="C13" s="56" t="s">
        <v>103</v>
      </c>
    </row>
    <row r="16" ht="15.6" spans="1:1">
      <c r="A16" s="58" t="s">
        <v>104</v>
      </c>
    </row>
    <row r="17" customFormat="1"/>
    <row r="18" ht="13.8" spans="2:2">
      <c r="B18" s="59" t="s">
        <v>105</v>
      </c>
    </row>
    <row r="19" spans="2:2">
      <c r="B19" s="1" t="s">
        <v>106</v>
      </c>
    </row>
    <row r="20" spans="2:2">
      <c r="B20" s="1" t="s">
        <v>107</v>
      </c>
    </row>
    <row r="22" customFormat="1" ht="13.8" spans="2:2">
      <c r="B22" s="59" t="s">
        <v>108</v>
      </c>
    </row>
    <row r="23" customFormat="1" spans="2:2">
      <c r="B23" s="1" t="s">
        <v>109</v>
      </c>
    </row>
    <row r="24" customFormat="1" spans="2:2">
      <c r="B24" s="1" t="s">
        <v>110</v>
      </c>
    </row>
    <row r="26" customFormat="1" ht="13.8" spans="2:2">
      <c r="B26" s="59" t="s">
        <v>111</v>
      </c>
    </row>
    <row r="27" customFormat="1" spans="2:2">
      <c r="B27" s="1" t="s">
        <v>112</v>
      </c>
    </row>
    <row r="28" customFormat="1" spans="2:2">
      <c r="B28" s="1" t="s">
        <v>113</v>
      </c>
    </row>
    <row r="29" spans="2:2">
      <c r="B29" s="1" t="s">
        <v>114</v>
      </c>
    </row>
    <row r="30" spans="2:2">
      <c r="B30" t="s">
        <v>115</v>
      </c>
    </row>
    <row r="31" spans="2:2">
      <c r="B31" t="s">
        <v>116</v>
      </c>
    </row>
    <row r="32" spans="2:2">
      <c r="B32" t="s">
        <v>117</v>
      </c>
    </row>
    <row r="34" ht="13.8" spans="2:2">
      <c r="B34" s="59" t="s">
        <v>118</v>
      </c>
    </row>
    <row r="35" spans="2:2">
      <c r="B35" s="1" t="s">
        <v>119</v>
      </c>
    </row>
    <row r="36" spans="2:2">
      <c r="B36" s="1" t="s">
        <v>120</v>
      </c>
    </row>
    <row r="37" spans="2:2">
      <c r="B37" s="1" t="s">
        <v>121</v>
      </c>
    </row>
    <row r="39" ht="13.8" spans="2:2">
      <c r="B39" s="59" t="s">
        <v>122</v>
      </c>
    </row>
    <row r="40" spans="2:2">
      <c r="B40" s="1" t="s">
        <v>123</v>
      </c>
    </row>
    <row r="42" customFormat="1" ht="13.8" spans="2:2">
      <c r="B42" s="59" t="s">
        <v>124</v>
      </c>
    </row>
    <row r="43" customFormat="1" spans="2:2">
      <c r="B43" s="1" t="s">
        <v>125</v>
      </c>
    </row>
    <row r="44" customFormat="1" spans="2:2">
      <c r="B44" s="1" t="s">
        <v>126</v>
      </c>
    </row>
    <row r="45" customFormat="1"/>
    <row r="46" ht="17.4" spans="2:2">
      <c r="B46" s="56" t="s">
        <v>127</v>
      </c>
    </row>
  </sheetData>
  <hyperlinks>
    <hyperlink ref="C7" r:id="rId2" display="Learn About Gantt Chart Template Pro"/>
    <hyperlink ref="B46" r:id="rId2" display="Learn More About Gantt Chart Template Pro" tooltip="Go to Vertex42.com"/>
    <hyperlink ref="C13" r:id="rId3" display="Gantt Chart Template Pro for Excel Online"/>
  </hyperlinks>
  <pageMargins left="0.7" right="0.7" top="0.75" bottom="0.75" header="0.3" footer="0.3"/>
  <pageSetup paperSize="1" scale="93"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94"/>
  <sheetViews>
    <sheetView showGridLines="0" topLeftCell="A22" workbookViewId="0">
      <selection activeCell="A3" sqref="A3"/>
    </sheetView>
  </sheetViews>
  <sheetFormatPr defaultColWidth="8.85185185185185" defaultRowHeight="13.2" outlineLevelCol="2"/>
  <cols>
    <col min="1" max="1" width="5.57407407407407" style="1" customWidth="1"/>
    <col min="2" max="2" width="90.4259259259259" style="1" customWidth="1"/>
    <col min="3" max="3" width="16.4259259259259" style="1" customWidth="1"/>
    <col min="4" max="16384" width="8.85185185185185" style="1"/>
  </cols>
  <sheetData>
    <row r="1" ht="30" customHeight="1" spans="1:3">
      <c r="A1" s="2" t="s">
        <v>128</v>
      </c>
      <c r="B1" s="18"/>
      <c r="C1" s="4"/>
    </row>
    <row r="2" ht="13.8" spans="1:3">
      <c r="A2" s="19" t="s">
        <v>100</v>
      </c>
      <c r="B2" s="20"/>
      <c r="C2" s="16"/>
    </row>
    <row r="3" s="1" customFormat="1" spans="1:3">
      <c r="A3" s="16"/>
      <c r="B3" s="20"/>
      <c r="C3" s="16"/>
    </row>
    <row r="4" s="16" customFormat="1" ht="17.4" spans="1:2">
      <c r="A4" s="21" t="s">
        <v>129</v>
      </c>
      <c r="B4" s="22"/>
    </row>
    <row r="5" s="16" customFormat="1" ht="55.2" spans="2:2">
      <c r="B5" s="23" t="s">
        <v>130</v>
      </c>
    </row>
    <row r="7" ht="27.6" spans="2:2">
      <c r="B7" s="23" t="s">
        <v>131</v>
      </c>
    </row>
    <row r="9" ht="13.8" spans="2:2">
      <c r="B9" s="19" t="s">
        <v>132</v>
      </c>
    </row>
    <row r="11" ht="27.6" spans="2:2">
      <c r="B11" s="24" t="s">
        <v>133</v>
      </c>
    </row>
    <row r="13" ht="17.4" spans="1:2">
      <c r="A13" s="25" t="s">
        <v>134</v>
      </c>
      <c r="B13" s="25"/>
    </row>
    <row r="15" s="17" customFormat="1" ht="17.4" spans="1:2">
      <c r="A15" s="26"/>
      <c r="B15" s="27" t="s">
        <v>135</v>
      </c>
    </row>
    <row r="16" s="17" customFormat="1" ht="17.4" spans="1:3">
      <c r="A16" s="26"/>
      <c r="B16" s="28" t="s">
        <v>136</v>
      </c>
      <c r="C16" s="29" t="s">
        <v>137</v>
      </c>
    </row>
    <row r="17" ht="17.4" spans="1:2">
      <c r="A17" s="30"/>
      <c r="B17" s="28" t="s">
        <v>138</v>
      </c>
    </row>
    <row r="18" s="1" customFormat="1" ht="17.4" spans="1:2">
      <c r="A18" s="30"/>
      <c r="B18" s="28" t="s">
        <v>139</v>
      </c>
    </row>
    <row r="19" s="4" customFormat="1" ht="17.4" spans="1:2">
      <c r="A19" s="31"/>
      <c r="B19" s="28" t="s">
        <v>140</v>
      </c>
    </row>
    <row r="20" s="17" customFormat="1" ht="17.4" spans="1:3">
      <c r="A20" s="26"/>
      <c r="B20" s="27" t="s">
        <v>141</v>
      </c>
      <c r="C20" s="32" t="s">
        <v>142</v>
      </c>
    </row>
    <row r="21" ht="17.4" spans="1:2">
      <c r="A21" s="30"/>
      <c r="B21" s="28" t="s">
        <v>143</v>
      </c>
    </row>
    <row r="22" s="16" customFormat="1" ht="17.4" spans="1:2">
      <c r="A22" s="33"/>
      <c r="B22" s="34" t="s">
        <v>144</v>
      </c>
    </row>
    <row r="23" s="16" customFormat="1" ht="17.4" spans="1:2">
      <c r="A23" s="33"/>
      <c r="B23" s="35"/>
    </row>
    <row r="24" s="16" customFormat="1" ht="17.4" spans="1:2">
      <c r="A24" s="25" t="s">
        <v>145</v>
      </c>
      <c r="B24" s="25"/>
    </row>
    <row r="25" s="16" customFormat="1" ht="41.4" spans="1:2">
      <c r="A25" s="33"/>
      <c r="B25" s="28" t="s">
        <v>146</v>
      </c>
    </row>
    <row r="26" s="16" customFormat="1" ht="17.4" spans="1:2">
      <c r="A26" s="33"/>
      <c r="B26" s="28"/>
    </row>
    <row r="27" s="16" customFormat="1" ht="17.4" spans="1:2">
      <c r="A27" s="33"/>
      <c r="B27" s="36" t="s">
        <v>147</v>
      </c>
    </row>
    <row r="28" s="16" customFormat="1" ht="17.4" spans="1:2">
      <c r="A28" s="33"/>
      <c r="B28" s="28" t="s">
        <v>148</v>
      </c>
    </row>
    <row r="29" s="16" customFormat="1" ht="27.6" spans="1:2">
      <c r="A29" s="33"/>
      <c r="B29" s="28" t="s">
        <v>149</v>
      </c>
    </row>
    <row r="30" s="16" customFormat="1" ht="17.4" spans="1:2">
      <c r="A30" s="33"/>
      <c r="B30" s="28"/>
    </row>
    <row r="31" s="16" customFormat="1" ht="17.4" spans="1:2">
      <c r="A31" s="33"/>
      <c r="B31" s="36" t="s">
        <v>150</v>
      </c>
    </row>
    <row r="32" s="16" customFormat="1" ht="17.4" spans="1:2">
      <c r="A32" s="33"/>
      <c r="B32" s="28" t="s">
        <v>151</v>
      </c>
    </row>
    <row r="33" s="16" customFormat="1" ht="17.4" spans="1:2">
      <c r="A33" s="33"/>
      <c r="B33" s="28" t="s">
        <v>152</v>
      </c>
    </row>
    <row r="34" s="16" customFormat="1" ht="17.4" spans="1:2">
      <c r="A34" s="33"/>
      <c r="B34" s="35"/>
    </row>
    <row r="35" s="16" customFormat="1" ht="27.6" spans="1:2">
      <c r="A35" s="33"/>
      <c r="B35" s="28" t="s">
        <v>153</v>
      </c>
    </row>
    <row r="36" s="16" customFormat="1" ht="17.4" spans="1:2">
      <c r="A36" s="33"/>
      <c r="B36" s="37" t="s">
        <v>154</v>
      </c>
    </row>
    <row r="37" s="16" customFormat="1" ht="17.4" spans="1:2">
      <c r="A37" s="33"/>
      <c r="B37" s="35"/>
    </row>
    <row r="38" ht="17.4" spans="1:2">
      <c r="A38" s="25" t="s">
        <v>155</v>
      </c>
      <c r="B38" s="25"/>
    </row>
    <row r="39" ht="27.6" spans="2:2">
      <c r="B39" s="28" t="s">
        <v>156</v>
      </c>
    </row>
    <row r="41" s="1" customFormat="1" ht="13.8" spans="2:2">
      <c r="B41" s="28" t="s">
        <v>157</v>
      </c>
    </row>
    <row r="43" s="1" customFormat="1" ht="27.6" spans="2:2">
      <c r="B43" s="28" t="s">
        <v>158</v>
      </c>
    </row>
    <row r="45" ht="27.6" spans="2:2">
      <c r="B45" s="28" t="s">
        <v>159</v>
      </c>
    </row>
    <row r="46" spans="2:2">
      <c r="B46" s="38"/>
    </row>
    <row r="47" ht="27.6" spans="2:2">
      <c r="B47" s="28" t="s">
        <v>160</v>
      </c>
    </row>
    <row r="48" spans="2:2">
      <c r="B48" s="39"/>
    </row>
    <row r="49" ht="17.4" spans="1:2">
      <c r="A49" s="25" t="s">
        <v>161</v>
      </c>
      <c r="B49" s="25"/>
    </row>
    <row r="50" ht="27.6" spans="2:2">
      <c r="B50" s="28" t="s">
        <v>162</v>
      </c>
    </row>
    <row r="51" spans="2:2">
      <c r="B51" s="39"/>
    </row>
    <row r="52" ht="13.8" spans="1:2">
      <c r="A52" s="40" t="s">
        <v>163</v>
      </c>
      <c r="B52" s="28" t="s">
        <v>164</v>
      </c>
    </row>
    <row r="53" ht="13.8" spans="1:2">
      <c r="A53" s="40" t="s">
        <v>165</v>
      </c>
      <c r="B53" s="28" t="s">
        <v>166</v>
      </c>
    </row>
    <row r="54" ht="13.8" spans="1:2">
      <c r="A54" s="40" t="s">
        <v>167</v>
      </c>
      <c r="B54" s="28" t="s">
        <v>168</v>
      </c>
    </row>
    <row r="55" ht="27.6" spans="1:2">
      <c r="A55" s="24"/>
      <c r="B55" s="28" t="s">
        <v>169</v>
      </c>
    </row>
    <row r="56" ht="27.6" spans="1:2">
      <c r="A56" s="24"/>
      <c r="B56" s="28" t="s">
        <v>170</v>
      </c>
    </row>
    <row r="57" ht="13.8" spans="1:2">
      <c r="A57" s="40" t="s">
        <v>171</v>
      </c>
      <c r="B57" s="28" t="s">
        <v>172</v>
      </c>
    </row>
    <row r="58" ht="13.8" spans="1:2">
      <c r="A58" s="24"/>
      <c r="B58" s="28" t="s">
        <v>173</v>
      </c>
    </row>
    <row r="59" ht="13.8" spans="1:2">
      <c r="A59" s="24"/>
      <c r="B59" s="28" t="s">
        <v>174</v>
      </c>
    </row>
    <row r="60" ht="13.8" spans="1:2">
      <c r="A60" s="40" t="s">
        <v>175</v>
      </c>
      <c r="B60" s="28" t="s">
        <v>176</v>
      </c>
    </row>
    <row r="61" ht="27.6" spans="1:2">
      <c r="A61" s="24"/>
      <c r="B61" s="28" t="s">
        <v>177</v>
      </c>
    </row>
    <row r="62" ht="13.8" spans="1:2">
      <c r="A62" s="40" t="s">
        <v>178</v>
      </c>
      <c r="B62" s="28" t="s">
        <v>179</v>
      </c>
    </row>
    <row r="63" ht="13.8" spans="1:2">
      <c r="A63" s="41"/>
      <c r="B63" s="28" t="s">
        <v>180</v>
      </c>
    </row>
    <row r="64" s="1" customFormat="1" spans="2:2">
      <c r="B64" s="42"/>
    </row>
    <row r="65" s="1" customFormat="1" ht="17.4" spans="1:2">
      <c r="A65" s="25" t="s">
        <v>181</v>
      </c>
      <c r="B65" s="25"/>
    </row>
    <row r="66" s="1" customFormat="1" ht="41.4" spans="2:2">
      <c r="B66" s="28" t="s">
        <v>182</v>
      </c>
    </row>
    <row r="67" s="1" customFormat="1" spans="2:2">
      <c r="B67" s="39"/>
    </row>
    <row r="68" s="16" customFormat="1" ht="17.4" spans="1:2">
      <c r="A68" s="25" t="s">
        <v>183</v>
      </c>
      <c r="B68" s="25"/>
    </row>
    <row r="69" s="1" customFormat="1" ht="13.8" spans="1:2">
      <c r="A69" s="43" t="s">
        <v>184</v>
      </c>
      <c r="B69" s="44" t="s">
        <v>185</v>
      </c>
    </row>
    <row r="70" s="16" customFormat="1" ht="27.6" spans="1:2">
      <c r="A70" s="45"/>
      <c r="B70" s="46" t="s">
        <v>186</v>
      </c>
    </row>
    <row r="71" s="16" customFormat="1" ht="13.8" spans="1:2">
      <c r="A71" s="45"/>
      <c r="B71" s="47"/>
    </row>
    <row r="72" s="1" customFormat="1" ht="13.8" spans="1:2">
      <c r="A72" s="43" t="s">
        <v>184</v>
      </c>
      <c r="B72" s="44" t="s">
        <v>187</v>
      </c>
    </row>
    <row r="73" s="16" customFormat="1" ht="27.6" spans="1:2">
      <c r="A73" s="45"/>
      <c r="B73" s="46" t="s">
        <v>188</v>
      </c>
    </row>
    <row r="74" s="16" customFormat="1" ht="13.8" spans="1:2">
      <c r="A74" s="45"/>
      <c r="B74" s="47"/>
    </row>
    <row r="75" ht="13.8" spans="1:2">
      <c r="A75" s="43" t="s">
        <v>184</v>
      </c>
      <c r="B75" s="48" t="s">
        <v>189</v>
      </c>
    </row>
    <row r="76" s="16" customFormat="1" ht="41.4" spans="1:2">
      <c r="A76" s="45"/>
      <c r="B76" s="23" t="s">
        <v>190</v>
      </c>
    </row>
    <row r="77" ht="13.8" spans="1:2">
      <c r="A77" s="41"/>
      <c r="B77" s="41"/>
    </row>
    <row r="78" s="1" customFormat="1" ht="13.8" spans="1:2">
      <c r="A78" s="43" t="s">
        <v>184</v>
      </c>
      <c r="B78" s="48" t="s">
        <v>191</v>
      </c>
    </row>
    <row r="79" s="16" customFormat="1" ht="27.6" spans="1:2">
      <c r="A79" s="45"/>
      <c r="B79" s="23" t="s">
        <v>192</v>
      </c>
    </row>
    <row r="80" s="1" customFormat="1" ht="13.8" spans="1:2">
      <c r="A80" s="41"/>
      <c r="B80" s="41"/>
    </row>
    <row r="81" ht="13.8" spans="1:2">
      <c r="A81" s="43" t="s">
        <v>184</v>
      </c>
      <c r="B81" s="48" t="s">
        <v>193</v>
      </c>
    </row>
    <row r="82" s="16" customFormat="1" ht="13.8" spans="1:2">
      <c r="A82" s="45"/>
      <c r="B82" s="49" t="s">
        <v>194</v>
      </c>
    </row>
    <row r="83" s="16" customFormat="1" ht="13.8" spans="1:2">
      <c r="A83" s="45"/>
      <c r="B83" s="49" t="s">
        <v>195</v>
      </c>
    </row>
    <row r="84" s="16" customFormat="1" ht="13.8" spans="1:2">
      <c r="A84" s="45"/>
      <c r="B84" s="49" t="s">
        <v>196</v>
      </c>
    </row>
    <row r="85" ht="13.8" spans="1:2">
      <c r="A85" s="41"/>
      <c r="B85" s="50"/>
    </row>
    <row r="86" ht="13.8" spans="1:2">
      <c r="A86" s="43" t="s">
        <v>184</v>
      </c>
      <c r="B86" s="48" t="s">
        <v>197</v>
      </c>
    </row>
    <row r="87" s="16" customFormat="1" ht="41.4" spans="1:2">
      <c r="A87" s="45"/>
      <c r="B87" s="23" t="s">
        <v>198</v>
      </c>
    </row>
    <row r="88" s="16" customFormat="1" ht="13.8" spans="1:2">
      <c r="A88" s="45"/>
      <c r="B88" s="178" t="s">
        <v>199</v>
      </c>
    </row>
    <row r="89" s="16" customFormat="1" ht="41.4" spans="1:2">
      <c r="A89" s="45"/>
      <c r="B89" s="179" t="s">
        <v>200</v>
      </c>
    </row>
    <row r="90" ht="13.8" spans="1:2">
      <c r="A90" s="41"/>
      <c r="B90" s="41"/>
    </row>
    <row r="91" ht="13.8" spans="1:2">
      <c r="A91" s="43" t="s">
        <v>184</v>
      </c>
      <c r="B91" s="52" t="s">
        <v>201</v>
      </c>
    </row>
    <row r="92" ht="27.6" spans="1:2">
      <c r="A92" s="24"/>
      <c r="B92" s="49" t="s">
        <v>202</v>
      </c>
    </row>
    <row r="94" spans="1:1">
      <c r="A94" s="53" t="s">
        <v>203</v>
      </c>
    </row>
  </sheetData>
  <mergeCells count="6">
    <mergeCell ref="A13:B13"/>
    <mergeCell ref="A24:B24"/>
    <mergeCell ref="A38:B38"/>
    <mergeCell ref="A49:B49"/>
    <mergeCell ref="A65:B65"/>
    <mergeCell ref="A68:B68"/>
  </mergeCells>
  <hyperlinks>
    <hyperlink ref="B9" r:id="rId4" display="Watch Demo Videos of the Pro Version on Vertex42.com"/>
    <hyperlink ref="A2" r:id="rId5" display="https://www.vertex42.com/ExcelTemplates/excel-gantt-chart.html"/>
    <hyperlink ref="B36" r:id="rId6" display="Help improve Excel by voting on a suggestion to fix this problem."/>
  </hyperlinks>
  <pageMargins left="0.5" right="0.5" top="0.25" bottom="0.25" header="0.5" footer="0.5"/>
  <pageSetup paperSize="1" orientation="portrait"/>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
  <sheetViews>
    <sheetView showGridLines="0" topLeftCell="A10" workbookViewId="0">
      <selection activeCell="A2" sqref="A2"/>
    </sheetView>
  </sheetViews>
  <sheetFormatPr defaultColWidth="8.85185185185185" defaultRowHeight="13.2" outlineLevelCol="3"/>
  <cols>
    <col min="1" max="1" width="5.57407407407407" style="1" customWidth="1"/>
    <col min="2" max="2" width="82.1388888888889" style="1" customWidth="1"/>
  </cols>
  <sheetData>
    <row r="1" ht="30" customHeight="1" spans="1:4">
      <c r="A1" s="2" t="s">
        <v>204</v>
      </c>
      <c r="B1" s="2"/>
      <c r="C1" s="3"/>
      <c r="D1" s="3"/>
    </row>
    <row r="2" ht="15" spans="1:4">
      <c r="A2" s="4"/>
      <c r="B2" s="5"/>
      <c r="C2" s="3"/>
      <c r="D2" s="3"/>
    </row>
    <row r="3" ht="15" spans="1:3">
      <c r="A3" s="6"/>
      <c r="B3" s="7" t="s">
        <v>205</v>
      </c>
      <c r="C3" s="8"/>
    </row>
    <row r="4" ht="13.8" spans="1:3">
      <c r="A4" s="9"/>
      <c r="B4" s="10" t="s">
        <v>100</v>
      </c>
      <c r="C4" s="11"/>
    </row>
    <row r="5" ht="15" spans="1:3">
      <c r="A5" s="9"/>
      <c r="B5" s="12"/>
      <c r="C5" s="11"/>
    </row>
    <row r="6" ht="15.6" spans="1:3">
      <c r="A6" s="9"/>
      <c r="B6" s="13" t="s">
        <v>203</v>
      </c>
      <c r="C6" s="11"/>
    </row>
    <row r="7" ht="15" spans="1:3">
      <c r="A7" s="9"/>
      <c r="B7" s="12"/>
      <c r="C7" s="11"/>
    </row>
    <row r="8" ht="30" spans="1:3">
      <c r="A8" s="9"/>
      <c r="B8" s="12" t="s">
        <v>206</v>
      </c>
      <c r="C8" s="11"/>
    </row>
    <row r="9" ht="15" spans="1:3">
      <c r="A9" s="9"/>
      <c r="B9" s="12"/>
      <c r="C9" s="11"/>
    </row>
    <row r="10" ht="46.2" spans="1:3">
      <c r="A10" s="9"/>
      <c r="B10" s="12" t="s">
        <v>207</v>
      </c>
      <c r="C10" s="11"/>
    </row>
    <row r="11" ht="15" spans="1:3">
      <c r="A11" s="9"/>
      <c r="B11" s="12"/>
      <c r="C11" s="11"/>
    </row>
    <row r="12" ht="45" spans="1:3">
      <c r="A12" s="9"/>
      <c r="B12" s="12" t="s">
        <v>208</v>
      </c>
      <c r="C12" s="11"/>
    </row>
    <row r="13" ht="15" spans="1:3">
      <c r="A13" s="9"/>
      <c r="B13" s="12"/>
      <c r="C13" s="11"/>
    </row>
    <row r="14" ht="60" spans="1:3">
      <c r="A14" s="9"/>
      <c r="B14" s="12" t="s">
        <v>209</v>
      </c>
      <c r="C14" s="11"/>
    </row>
    <row r="15" ht="15" spans="1:3">
      <c r="A15" s="9"/>
      <c r="B15" s="12"/>
      <c r="C15" s="11"/>
    </row>
    <row r="16" ht="30.6" spans="1:3">
      <c r="A16" s="9"/>
      <c r="B16" s="12" t="s">
        <v>210</v>
      </c>
      <c r="C16" s="11"/>
    </row>
    <row r="17" ht="15" spans="1:3">
      <c r="A17" s="9"/>
      <c r="B17" s="12"/>
      <c r="C17" s="11"/>
    </row>
    <row r="18" ht="15.6" spans="1:3">
      <c r="A18" s="9"/>
      <c r="B18" s="13" t="s">
        <v>211</v>
      </c>
      <c r="C18" s="11"/>
    </row>
    <row r="19" ht="15" spans="1:3">
      <c r="A19" s="9"/>
      <c r="B19" s="14" t="s">
        <v>212</v>
      </c>
      <c r="C19" s="11"/>
    </row>
    <row r="20" ht="15" spans="1:3">
      <c r="A20" s="9"/>
      <c r="B20" s="15"/>
      <c r="C20" s="11"/>
    </row>
    <row r="21" spans="1:3">
      <c r="A21" s="9"/>
      <c r="B21" s="9"/>
      <c r="C21" s="11"/>
    </row>
    <row r="22" spans="1:3">
      <c r="A22" s="9"/>
      <c r="B22" s="9"/>
      <c r="C22" s="11"/>
    </row>
    <row r="23" spans="1:3">
      <c r="A23" s="9"/>
      <c r="B23" s="9"/>
      <c r="C23" s="11"/>
    </row>
    <row r="24" spans="1:3">
      <c r="A24" s="9"/>
      <c r="B24" s="9"/>
      <c r="C24" s="11"/>
    </row>
    <row r="25" spans="1:3">
      <c r="A25" s="9"/>
      <c r="B25" s="9"/>
      <c r="C25" s="11"/>
    </row>
    <row r="26" spans="1:3">
      <c r="A26" s="9"/>
      <c r="B26" s="9"/>
      <c r="C26" s="11"/>
    </row>
    <row r="27" spans="1:3">
      <c r="A27" s="9"/>
      <c r="B27" s="9"/>
      <c r="C27" s="11"/>
    </row>
    <row r="28" spans="1:3">
      <c r="A28" s="9"/>
      <c r="B28" s="9"/>
      <c r="C28" s="11"/>
    </row>
    <row r="29" spans="1:3">
      <c r="A29" s="9"/>
      <c r="B29" s="9"/>
      <c r="C29" s="11"/>
    </row>
  </sheetData>
  <hyperlinks>
    <hyperlink ref="B4" r:id="rId2" display="https://www.vertex42.com/ExcelTemplates/excel-gantt-chart.html"/>
    <hyperlink ref="B19" r:id="rId3" display="https://www.vertex42.com/licensing/EULA_privateuse.html"/>
  </hyperlinks>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Company>Vertex42 LLC</Company>
  <Application>Microsoft Excel</Application>
  <HeadingPairs>
    <vt:vector size="2" baseType="variant">
      <vt:variant>
        <vt:lpstr>工作表</vt:lpstr>
      </vt:variant>
      <vt:variant>
        <vt:i4>4</vt:i4>
      </vt:variant>
    </vt:vector>
  </HeadingPairs>
  <TitlesOfParts>
    <vt:vector size="4" baseType="lpstr">
      <vt:lpstr>GanttChart</vt:lpstr>
      <vt:lpstr>GanttChartPro</vt:lpstr>
      <vt:lpstr>Help</vt:lpstr>
      <vt:lpstr>TermsOfUse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Zhengrong Cai</cp:lastModifiedBy>
  <dcterms:created xsi:type="dcterms:W3CDTF">2010-06-09T16:05:00Z</dcterms:created>
  <cp:lastPrinted>2018-02-12T20:25:00Z</cp:lastPrinted>
  <dcterms:modified xsi:type="dcterms:W3CDTF">2021-09-30T02:45:39Z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y fmtid="{D5CDD505-2E9C-101B-9397-08002B2CF9AE}" pid="5" name="KSOProductBuildVer">
    <vt:lpwstr>2052-11.1.0.10700</vt:lpwstr>
  </property>
  <property fmtid="{D5CDD505-2E9C-101B-9397-08002B2CF9AE}" pid="6" name="ICV">
    <vt:lpwstr>2F1CC474BE054BCAB647245AEDAB51AE</vt:lpwstr>
  </property>
</Properties>
</file>